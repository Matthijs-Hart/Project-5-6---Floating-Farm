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kyril\Desktop\Project-5-6---Floating-Farm\Opleverset\Extra documenten\"/>
    </mc:Choice>
  </mc:AlternateContent>
  <xr:revisionPtr revIDLastSave="0" documentId="13_ncr:1_{8D1848AF-F974-4BA3-8D8E-19483DD4E947}" xr6:coauthVersionLast="47" xr6:coauthVersionMax="47" xr10:uidLastSave="{00000000-0000-0000-0000-000000000000}"/>
  <bookViews>
    <workbookView xWindow="-108" yWindow="-108" windowWidth="23256" windowHeight="12456" tabRatio="747" firstSheet="1" activeTab="1" xr2:uid="{C9B0FE52-629E-47BA-9955-0395F0E7E877}"/>
  </bookViews>
  <sheets>
    <sheet name="Toelichting model" sheetId="1" r:id="rId1"/>
    <sheet name="Verdieping 1" sheetId="2" r:id="rId2"/>
    <sheet name="Verdieping 0" sheetId="3" r:id="rId3"/>
    <sheet name="Verdieping -1" sheetId="4" r:id="rId4"/>
    <sheet name="Belastingsverdeling" sheetId="5" r:id="rId5"/>
    <sheet name="Moment verdeling hor. as" sheetId="6" r:id="rId6"/>
    <sheet name="Moment verdeling vert. as" sheetId="7" r:id="rId7"/>
    <sheet name="groote schaal model"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0" i="2" l="1"/>
  <c r="H40" i="2"/>
  <c r="AB5" i="7"/>
  <c r="D9" i="8"/>
  <c r="D8" i="8"/>
  <c r="D5" i="8"/>
  <c r="D6" i="8"/>
  <c r="D4" i="8"/>
  <c r="C8" i="8"/>
  <c r="B8" i="8"/>
  <c r="F7" i="8" s="1"/>
  <c r="B9" i="8" s="1"/>
  <c r="AU16" i="6"/>
  <c r="AU17" i="6"/>
  <c r="AU18" i="6" s="1"/>
  <c r="AU15" i="6"/>
  <c r="AT19" i="7"/>
  <c r="AT20" i="7"/>
  <c r="AT21" i="7"/>
  <c r="AT22" i="7" s="1"/>
  <c r="AT23" i="7" s="1"/>
  <c r="AT16" i="7"/>
  <c r="AT17" i="7" s="1"/>
  <c r="AT18" i="7" s="1"/>
  <c r="AT15" i="7"/>
  <c r="Y5" i="6"/>
  <c r="AE11" i="6"/>
  <c r="AD11" i="6"/>
  <c r="AC11" i="6"/>
  <c r="AB11" i="6"/>
  <c r="AA11" i="6"/>
  <c r="Z11" i="6"/>
  <c r="Y11" i="6"/>
  <c r="X11" i="6"/>
  <c r="AE10" i="6"/>
  <c r="AD10" i="6"/>
  <c r="AC10" i="6"/>
  <c r="AB10" i="6"/>
  <c r="AA10" i="6"/>
  <c r="Z10" i="6"/>
  <c r="Y10" i="6"/>
  <c r="X10" i="6"/>
  <c r="AE9" i="6"/>
  <c r="AD9" i="6"/>
  <c r="AC9" i="6"/>
  <c r="AB9" i="6"/>
  <c r="AA9" i="6"/>
  <c r="Z9" i="6"/>
  <c r="Y9" i="6"/>
  <c r="X9" i="6"/>
  <c r="AE8" i="6"/>
  <c r="AD8" i="6"/>
  <c r="AC8" i="6"/>
  <c r="AB8" i="6"/>
  <c r="AA8" i="6"/>
  <c r="Z8" i="6"/>
  <c r="Y8" i="6"/>
  <c r="X8" i="6"/>
  <c r="C30" i="4"/>
  <c r="O15" i="4"/>
  <c r="N15" i="4"/>
  <c r="M15" i="4"/>
  <c r="H47" i="4"/>
  <c r="AC5" i="6" s="1"/>
  <c r="H30" i="4"/>
  <c r="AB5" i="6" s="1"/>
  <c r="H14" i="4"/>
  <c r="J14" i="4" s="1"/>
  <c r="C46" i="4"/>
  <c r="Z5" i="6" s="1"/>
  <c r="M13" i="4"/>
  <c r="N13" i="4" s="1"/>
  <c r="J45" i="4"/>
  <c r="I45" i="4"/>
  <c r="H45" i="4"/>
  <c r="I29" i="4"/>
  <c r="H29" i="4"/>
  <c r="J29" i="4" s="1"/>
  <c r="H13" i="4"/>
  <c r="J13" i="4" s="1"/>
  <c r="D45" i="4"/>
  <c r="C45" i="4"/>
  <c r="E45" i="4" s="1"/>
  <c r="C29" i="4"/>
  <c r="D29" i="4" s="1"/>
  <c r="H11" i="7"/>
  <c r="H10" i="7"/>
  <c r="H8" i="7"/>
  <c r="H7" i="7"/>
  <c r="S11" i="7"/>
  <c r="S10" i="7"/>
  <c r="S9" i="7"/>
  <c r="S8" i="7"/>
  <c r="S7" i="7"/>
  <c r="S6" i="7"/>
  <c r="S5" i="7"/>
  <c r="S4" i="7"/>
  <c r="T11" i="7"/>
  <c r="T10" i="7"/>
  <c r="T9" i="7"/>
  <c r="T8" i="7"/>
  <c r="T7" i="7"/>
  <c r="T6" i="7"/>
  <c r="T5" i="7"/>
  <c r="T4" i="7"/>
  <c r="I11" i="7"/>
  <c r="AE11" i="7"/>
  <c r="AE10" i="7"/>
  <c r="AE9" i="7"/>
  <c r="AE8" i="7"/>
  <c r="AE7" i="7"/>
  <c r="AE6" i="7"/>
  <c r="AE5" i="7"/>
  <c r="AE4" i="7"/>
  <c r="AD11" i="7"/>
  <c r="AD10" i="7"/>
  <c r="AD9" i="7"/>
  <c r="AD8" i="7"/>
  <c r="AD7" i="7"/>
  <c r="AD5" i="7"/>
  <c r="AD4" i="7"/>
  <c r="M11" i="3"/>
  <c r="C41" i="3"/>
  <c r="E31" i="3"/>
  <c r="D31" i="3"/>
  <c r="C31" i="3"/>
  <c r="J34" i="3"/>
  <c r="I34" i="3"/>
  <c r="C30" i="3"/>
  <c r="C24" i="3"/>
  <c r="N8" i="6"/>
  <c r="C22" i="3"/>
  <c r="C32" i="2"/>
  <c r="M32" i="2"/>
  <c r="I4" i="7" s="1"/>
  <c r="M30" i="2"/>
  <c r="I5" i="7" s="1"/>
  <c r="M28" i="2"/>
  <c r="O28" i="2" s="1"/>
  <c r="M27" i="2"/>
  <c r="M25" i="2"/>
  <c r="O25" i="2" s="1"/>
  <c r="M22" i="2"/>
  <c r="I9" i="7" s="1"/>
  <c r="M20" i="2"/>
  <c r="O20" i="2" s="1"/>
  <c r="M18" i="2"/>
  <c r="O18" i="2" s="1"/>
  <c r="O26" i="2"/>
  <c r="N26" i="2"/>
  <c r="M26" i="2"/>
  <c r="I7" i="7" s="1"/>
  <c r="N32" i="2"/>
  <c r="N30" i="2"/>
  <c r="O22" i="2"/>
  <c r="N18" i="2"/>
  <c r="M15" i="2"/>
  <c r="M7" i="2"/>
  <c r="H9" i="7" s="1"/>
  <c r="E34" i="2"/>
  <c r="D34" i="2"/>
  <c r="AA7" i="7"/>
  <c r="AA7" i="6"/>
  <c r="AA7" i="5"/>
  <c r="O10" i="4"/>
  <c r="N10" i="4"/>
  <c r="O8" i="4"/>
  <c r="N8" i="4"/>
  <c r="J10" i="4"/>
  <c r="I10" i="4"/>
  <c r="H10" i="4"/>
  <c r="J26" i="4"/>
  <c r="I26" i="4"/>
  <c r="J42" i="4"/>
  <c r="I42" i="4"/>
  <c r="E40" i="4"/>
  <c r="D40" i="4"/>
  <c r="E42" i="4"/>
  <c r="D42" i="4"/>
  <c r="D26" i="4"/>
  <c r="E26" i="4"/>
  <c r="J36" i="4"/>
  <c r="H36" i="4"/>
  <c r="I36" i="4"/>
  <c r="J28" i="3"/>
  <c r="I28" i="3"/>
  <c r="H28" i="3"/>
  <c r="Q6" i="6" s="1"/>
  <c r="N14" i="4"/>
  <c r="M14" i="4" s="1"/>
  <c r="E38" i="4"/>
  <c r="D38" i="4"/>
  <c r="E30" i="4"/>
  <c r="D30" i="4"/>
  <c r="E28" i="4"/>
  <c r="D28" i="4"/>
  <c r="C28" i="4"/>
  <c r="Y6" i="6" s="1"/>
  <c r="E23" i="4"/>
  <c r="D23" i="4"/>
  <c r="E20" i="4"/>
  <c r="D20" i="4"/>
  <c r="E36" i="4"/>
  <c r="D36" i="4"/>
  <c r="E44" i="4"/>
  <c r="D44" i="4"/>
  <c r="J44" i="4"/>
  <c r="I44" i="4"/>
  <c r="J28" i="4"/>
  <c r="I28" i="4"/>
  <c r="J12" i="4"/>
  <c r="I12" i="4"/>
  <c r="O12" i="4"/>
  <c r="N12" i="4"/>
  <c r="O6" i="4"/>
  <c r="N6" i="4"/>
  <c r="O4" i="4"/>
  <c r="N4" i="4"/>
  <c r="J46" i="4"/>
  <c r="I46" i="4"/>
  <c r="J38" i="4"/>
  <c r="I38" i="4"/>
  <c r="J22" i="4"/>
  <c r="I22" i="4"/>
  <c r="J20" i="4"/>
  <c r="I20" i="4"/>
  <c r="J6" i="4"/>
  <c r="I6" i="4"/>
  <c r="J4" i="4"/>
  <c r="I4" i="4"/>
  <c r="E31" i="4"/>
  <c r="D31" i="4"/>
  <c r="D24" i="4"/>
  <c r="E24" i="4"/>
  <c r="D25" i="4"/>
  <c r="E25" i="4"/>
  <c r="E22" i="4"/>
  <c r="D22" i="4"/>
  <c r="G9" i="6"/>
  <c r="AN9" i="6" s="1"/>
  <c r="F9" i="6"/>
  <c r="AM9" i="6" s="1"/>
  <c r="E9" i="6"/>
  <c r="AL9" i="6" s="1"/>
  <c r="D9" i="6"/>
  <c r="C9" i="6"/>
  <c r="B9" i="6"/>
  <c r="T11" i="6"/>
  <c r="S11" i="6"/>
  <c r="R11" i="6"/>
  <c r="Q11" i="6"/>
  <c r="P11" i="6"/>
  <c r="O11" i="6"/>
  <c r="N11" i="6"/>
  <c r="M11" i="6"/>
  <c r="H11" i="6"/>
  <c r="AO11" i="6" s="1"/>
  <c r="G11" i="6"/>
  <c r="AN11" i="6" s="1"/>
  <c r="F11" i="6"/>
  <c r="AM11" i="6" s="1"/>
  <c r="E11" i="6"/>
  <c r="AL11" i="6" s="1"/>
  <c r="D11" i="6"/>
  <c r="AK11" i="6" s="1"/>
  <c r="C11" i="6"/>
  <c r="AJ11" i="6" s="1"/>
  <c r="B11" i="6"/>
  <c r="T10" i="6"/>
  <c r="S10" i="6"/>
  <c r="R10" i="6"/>
  <c r="Q10" i="6"/>
  <c r="P10" i="6"/>
  <c r="O10" i="6"/>
  <c r="N10" i="6"/>
  <c r="M10" i="6"/>
  <c r="I10" i="6"/>
  <c r="AP10" i="6" s="1"/>
  <c r="H10" i="6"/>
  <c r="G10" i="6"/>
  <c r="F10" i="6"/>
  <c r="E10" i="6"/>
  <c r="AL10" i="6" s="1"/>
  <c r="D10" i="6"/>
  <c r="C10" i="6"/>
  <c r="AJ10" i="6" s="1"/>
  <c r="B10" i="6"/>
  <c r="AI10" i="6" s="1"/>
  <c r="T9" i="6"/>
  <c r="S9" i="6"/>
  <c r="R9" i="6"/>
  <c r="Q9" i="6"/>
  <c r="P9" i="6"/>
  <c r="O9" i="6"/>
  <c r="N9" i="6"/>
  <c r="M9" i="6"/>
  <c r="T8" i="6"/>
  <c r="S8" i="6"/>
  <c r="R8" i="6"/>
  <c r="M8" i="6"/>
  <c r="H8" i="6"/>
  <c r="AO8" i="6" s="1"/>
  <c r="G8" i="6"/>
  <c r="AN8" i="6" s="1"/>
  <c r="F8" i="6"/>
  <c r="AM8" i="6" s="1"/>
  <c r="E8" i="6"/>
  <c r="D8" i="6"/>
  <c r="AK8" i="6" s="1"/>
  <c r="C8" i="6"/>
  <c r="AJ8" i="6" s="1"/>
  <c r="B8" i="6"/>
  <c r="AI8" i="6" s="1"/>
  <c r="AB11" i="7"/>
  <c r="AA11" i="7"/>
  <c r="AB10" i="7"/>
  <c r="AA10" i="7"/>
  <c r="AB9" i="7"/>
  <c r="AA9" i="7"/>
  <c r="AB8" i="7"/>
  <c r="AA8" i="7"/>
  <c r="AB7" i="7"/>
  <c r="AB6" i="7"/>
  <c r="AA6" i="7"/>
  <c r="AB4" i="7"/>
  <c r="AA4" i="7"/>
  <c r="Q11" i="7"/>
  <c r="P11" i="7"/>
  <c r="Q10" i="7"/>
  <c r="P10" i="7"/>
  <c r="Q9" i="7"/>
  <c r="P9" i="7"/>
  <c r="P6" i="7"/>
  <c r="Q5" i="7"/>
  <c r="P5" i="7"/>
  <c r="Q4" i="7"/>
  <c r="P4" i="7"/>
  <c r="F11" i="7"/>
  <c r="E11" i="7"/>
  <c r="F10" i="7"/>
  <c r="E10" i="7"/>
  <c r="F9" i="7"/>
  <c r="E9" i="7"/>
  <c r="F8" i="7"/>
  <c r="E8" i="7"/>
  <c r="F7" i="7"/>
  <c r="E7" i="7"/>
  <c r="F6" i="7"/>
  <c r="E6" i="7"/>
  <c r="F5" i="7"/>
  <c r="E5" i="7"/>
  <c r="F4" i="7"/>
  <c r="E4" i="7"/>
  <c r="AC11" i="7"/>
  <c r="AC10" i="7"/>
  <c r="AC9" i="7"/>
  <c r="AC8" i="7"/>
  <c r="AC7" i="7"/>
  <c r="AC6" i="7"/>
  <c r="AC4" i="7"/>
  <c r="Z11" i="7"/>
  <c r="Z10" i="7"/>
  <c r="Z9" i="7"/>
  <c r="Z8" i="7"/>
  <c r="Z7" i="7"/>
  <c r="Z6" i="7"/>
  <c r="Z4" i="7"/>
  <c r="R11" i="7"/>
  <c r="R10" i="7"/>
  <c r="R9" i="7"/>
  <c r="R8" i="7"/>
  <c r="R7" i="7"/>
  <c r="R6" i="7"/>
  <c r="R5" i="7"/>
  <c r="R4" i="7"/>
  <c r="O11" i="7"/>
  <c r="O10" i="7"/>
  <c r="O9" i="7"/>
  <c r="O6" i="7"/>
  <c r="O5" i="7"/>
  <c r="O4" i="7"/>
  <c r="G11" i="7"/>
  <c r="G10" i="7"/>
  <c r="G9" i="7"/>
  <c r="G7" i="7"/>
  <c r="G6" i="7"/>
  <c r="G5" i="7"/>
  <c r="G4" i="7"/>
  <c r="D11" i="7"/>
  <c r="D10" i="7"/>
  <c r="D9" i="7"/>
  <c r="D8" i="7"/>
  <c r="D7" i="7"/>
  <c r="D6" i="7"/>
  <c r="D5" i="7"/>
  <c r="D4" i="7"/>
  <c r="X11" i="7"/>
  <c r="X10" i="7"/>
  <c r="X9" i="7"/>
  <c r="X8" i="7"/>
  <c r="X7" i="7"/>
  <c r="X6" i="7"/>
  <c r="X5" i="7"/>
  <c r="X4" i="7"/>
  <c r="M11" i="7"/>
  <c r="M10" i="7"/>
  <c r="M9" i="7"/>
  <c r="M8" i="7"/>
  <c r="M7" i="7"/>
  <c r="M6" i="7"/>
  <c r="M5" i="7"/>
  <c r="M4" i="7"/>
  <c r="B11" i="7"/>
  <c r="B10" i="7"/>
  <c r="B9" i="7"/>
  <c r="B8" i="7"/>
  <c r="B7" i="7"/>
  <c r="B6" i="7"/>
  <c r="B5" i="7"/>
  <c r="B4" i="7"/>
  <c r="Y11" i="7"/>
  <c r="Y10" i="7"/>
  <c r="Y9" i="7"/>
  <c r="Y8" i="7"/>
  <c r="Y7" i="7"/>
  <c r="Y6" i="7"/>
  <c r="Y5" i="7"/>
  <c r="Y4" i="7"/>
  <c r="N11" i="7"/>
  <c r="N10" i="7"/>
  <c r="N7" i="7"/>
  <c r="N4" i="7"/>
  <c r="C11" i="7"/>
  <c r="C10" i="7"/>
  <c r="C9" i="7"/>
  <c r="C8" i="7"/>
  <c r="C7" i="7"/>
  <c r="C6" i="7"/>
  <c r="C5" i="7"/>
  <c r="C4" i="7"/>
  <c r="AE4" i="6"/>
  <c r="AD4" i="6"/>
  <c r="AC4" i="6"/>
  <c r="AB4" i="6"/>
  <c r="AA4" i="6"/>
  <c r="Z4" i="6"/>
  <c r="Y4" i="6"/>
  <c r="X4" i="6"/>
  <c r="T4" i="6"/>
  <c r="S4" i="6"/>
  <c r="R4" i="6"/>
  <c r="Q4" i="6"/>
  <c r="P4" i="6"/>
  <c r="O4" i="6"/>
  <c r="N4" i="6"/>
  <c r="M4" i="6"/>
  <c r="AE5" i="6"/>
  <c r="X5" i="6"/>
  <c r="T5" i="6"/>
  <c r="S5" i="6"/>
  <c r="R5" i="6"/>
  <c r="Q5" i="6"/>
  <c r="P5" i="6"/>
  <c r="O5" i="6"/>
  <c r="M5" i="6"/>
  <c r="AE6" i="6"/>
  <c r="AC6" i="6"/>
  <c r="AB6" i="6"/>
  <c r="AA6" i="6"/>
  <c r="Z6" i="6"/>
  <c r="X6" i="6"/>
  <c r="T6" i="6"/>
  <c r="S6" i="6"/>
  <c r="R6" i="6"/>
  <c r="P6" i="6"/>
  <c r="O6" i="6"/>
  <c r="M6" i="6"/>
  <c r="AE7" i="6"/>
  <c r="AD7" i="6"/>
  <c r="AC7" i="6"/>
  <c r="AB7" i="6"/>
  <c r="Z7" i="6"/>
  <c r="Y7" i="6"/>
  <c r="X7" i="6"/>
  <c r="T7" i="6"/>
  <c r="S7" i="6"/>
  <c r="R7" i="6"/>
  <c r="N7" i="6"/>
  <c r="M7" i="6"/>
  <c r="G4" i="6"/>
  <c r="AN4" i="6" s="1"/>
  <c r="F4" i="6"/>
  <c r="AM4" i="6" s="1"/>
  <c r="E4" i="6"/>
  <c r="AL4" i="6" s="1"/>
  <c r="D4" i="6"/>
  <c r="AK4" i="6" s="1"/>
  <c r="C4" i="6"/>
  <c r="AJ4" i="6" s="1"/>
  <c r="B4" i="6"/>
  <c r="I5" i="6"/>
  <c r="AP5" i="6" s="1"/>
  <c r="G5" i="6"/>
  <c r="AN5" i="6" s="1"/>
  <c r="F5" i="6"/>
  <c r="AM5" i="6" s="1"/>
  <c r="E5" i="6"/>
  <c r="AL5" i="6" s="1"/>
  <c r="D5" i="6"/>
  <c r="AK5" i="6" s="1"/>
  <c r="C5" i="6"/>
  <c r="AJ5" i="6" s="1"/>
  <c r="B5" i="6"/>
  <c r="G6" i="6"/>
  <c r="AN6" i="6" s="1"/>
  <c r="F6" i="6"/>
  <c r="AM6" i="6" s="1"/>
  <c r="E6" i="6"/>
  <c r="AL6" i="6" s="1"/>
  <c r="D6" i="6"/>
  <c r="AK6" i="6" s="1"/>
  <c r="C6" i="6"/>
  <c r="AJ6" i="6" s="1"/>
  <c r="B6" i="6"/>
  <c r="AI6" i="6" s="1"/>
  <c r="H7" i="6"/>
  <c r="AO7" i="6" s="1"/>
  <c r="G7" i="6"/>
  <c r="AN7" i="6" s="1"/>
  <c r="F7" i="6"/>
  <c r="AM7" i="6" s="1"/>
  <c r="E7" i="6"/>
  <c r="AL7" i="6" s="1"/>
  <c r="D7" i="6"/>
  <c r="AK7" i="6" s="1"/>
  <c r="C7" i="6"/>
  <c r="AJ7" i="6" s="1"/>
  <c r="B7" i="6"/>
  <c r="O28" i="3"/>
  <c r="N28" i="3"/>
  <c r="O26" i="3"/>
  <c r="N26" i="3"/>
  <c r="O2" i="3"/>
  <c r="N2" i="3"/>
  <c r="M2" i="3"/>
  <c r="O15" i="3"/>
  <c r="N15" i="3"/>
  <c r="M15" i="3"/>
  <c r="O4" i="3"/>
  <c r="N4" i="3"/>
  <c r="M6" i="3"/>
  <c r="M10" i="3"/>
  <c r="N10" i="3"/>
  <c r="O10" i="3"/>
  <c r="O9" i="3"/>
  <c r="N9" i="3"/>
  <c r="M9" i="3"/>
  <c r="AE4" i="5"/>
  <c r="AD4" i="5"/>
  <c r="O11" i="3"/>
  <c r="N11" i="3"/>
  <c r="J46" i="3"/>
  <c r="I46" i="3"/>
  <c r="J45" i="3"/>
  <c r="I45" i="3"/>
  <c r="H45" i="3"/>
  <c r="H44" i="3"/>
  <c r="J40" i="3"/>
  <c r="I40" i="3"/>
  <c r="H40" i="3"/>
  <c r="J38" i="3"/>
  <c r="I38" i="3"/>
  <c r="H38" i="3"/>
  <c r="G8" i="7" l="1"/>
  <c r="I40" i="2"/>
  <c r="AI4" i="6"/>
  <c r="I9" i="6"/>
  <c r="AP9" i="6" s="1"/>
  <c r="I10" i="7"/>
  <c r="AI11" i="6"/>
  <c r="I6" i="7"/>
  <c r="I8" i="7"/>
  <c r="AP8" i="7" s="1"/>
  <c r="AI5" i="6"/>
  <c r="AM10" i="6"/>
  <c r="AN10" i="6"/>
  <c r="AI7" i="6"/>
  <c r="AO10" i="6"/>
  <c r="AI9" i="6"/>
  <c r="AJ9" i="6"/>
  <c r="AK9" i="6"/>
  <c r="AK10" i="6"/>
  <c r="AL8" i="6"/>
  <c r="AU19" i="6"/>
  <c r="AU20" i="6" s="1"/>
  <c r="AT24" i="7"/>
  <c r="AT25" i="7" s="1"/>
  <c r="AM4" i="7"/>
  <c r="AJ4" i="7"/>
  <c r="AL10" i="7"/>
  <c r="AO11" i="7"/>
  <c r="AJ11" i="7"/>
  <c r="AN7" i="7"/>
  <c r="AM11" i="7"/>
  <c r="AM10" i="7"/>
  <c r="AI5" i="7"/>
  <c r="AN9" i="7"/>
  <c r="AI8" i="7"/>
  <c r="AP6" i="7"/>
  <c r="AI10" i="7"/>
  <c r="AJ7" i="7"/>
  <c r="AI11" i="7"/>
  <c r="AI4" i="7"/>
  <c r="AK4" i="7"/>
  <c r="AN8" i="7"/>
  <c r="AK11" i="7"/>
  <c r="AL6" i="7"/>
  <c r="AI6" i="7"/>
  <c r="AK6" i="7"/>
  <c r="AN10" i="7"/>
  <c r="AP4" i="7"/>
  <c r="AI7" i="7"/>
  <c r="AN11" i="7"/>
  <c r="AP5" i="7"/>
  <c r="AI9" i="7"/>
  <c r="AK9" i="7"/>
  <c r="AP7" i="7"/>
  <c r="AO7" i="7"/>
  <c r="AK10" i="7"/>
  <c r="AL9" i="7"/>
  <c r="AM9" i="7"/>
  <c r="AO8" i="7"/>
  <c r="AP9" i="7"/>
  <c r="AO9" i="7"/>
  <c r="AN4" i="7"/>
  <c r="AL4" i="7"/>
  <c r="AP10" i="7"/>
  <c r="AO10" i="7"/>
  <c r="AP11" i="7"/>
  <c r="AJ10" i="7"/>
  <c r="AN6" i="7"/>
  <c r="AL11" i="7"/>
  <c r="B14" i="7"/>
  <c r="J47" i="4"/>
  <c r="AC5" i="7"/>
  <c r="AN5" i="7" s="1"/>
  <c r="I47" i="4"/>
  <c r="J30" i="4"/>
  <c r="AM5" i="7"/>
  <c r="I30" i="4"/>
  <c r="AA5" i="6"/>
  <c r="AA5" i="7"/>
  <c r="AL5" i="7" s="1"/>
  <c r="I14" i="4"/>
  <c r="D46" i="4"/>
  <c r="E46" i="4"/>
  <c r="Z5" i="7"/>
  <c r="AD6" i="7"/>
  <c r="O13" i="4"/>
  <c r="AD6" i="6"/>
  <c r="I13" i="4"/>
  <c r="E29" i="4"/>
  <c r="I4" i="6"/>
  <c r="AP4" i="6" s="1"/>
  <c r="O32" i="2"/>
  <c r="I7" i="6"/>
  <c r="AP7" i="6" s="1"/>
  <c r="N27" i="2"/>
  <c r="O27" i="2"/>
  <c r="N20" i="2"/>
  <c r="O30" i="2"/>
  <c r="N28" i="2"/>
  <c r="I6" i="6"/>
  <c r="AP6" i="6" s="1"/>
  <c r="N25" i="2"/>
  <c r="I8" i="6"/>
  <c r="AP8" i="6" s="1"/>
  <c r="N22" i="2"/>
  <c r="I11" i="6"/>
  <c r="AP11" i="6" s="1"/>
  <c r="Q6" i="7"/>
  <c r="AM6" i="7" s="1"/>
  <c r="O14" i="4"/>
  <c r="AD5" i="6"/>
  <c r="AU21" i="6" l="1"/>
  <c r="AT26" i="7"/>
  <c r="X14" i="7"/>
  <c r="AE14" i="7"/>
  <c r="AK5" i="7"/>
  <c r="AG4" i="6"/>
  <c r="Q6" i="5"/>
  <c r="E42" i="3"/>
  <c r="D42" i="3"/>
  <c r="E40" i="3"/>
  <c r="D40" i="3"/>
  <c r="J29" i="3"/>
  <c r="I29" i="3"/>
  <c r="H29" i="3"/>
  <c r="J31" i="3"/>
  <c r="I31" i="3"/>
  <c r="J30" i="3"/>
  <c r="I30" i="3"/>
  <c r="J26" i="3"/>
  <c r="I26" i="3"/>
  <c r="H8" i="3"/>
  <c r="H24" i="3"/>
  <c r="I24" i="3" s="1"/>
  <c r="J24" i="3"/>
  <c r="J21" i="3"/>
  <c r="I21" i="3"/>
  <c r="J12" i="3"/>
  <c r="I12" i="3"/>
  <c r="J8" i="3"/>
  <c r="I8" i="3"/>
  <c r="J10" i="3"/>
  <c r="I10" i="3"/>
  <c r="J7" i="3"/>
  <c r="I7" i="3"/>
  <c r="C46" i="3"/>
  <c r="E46" i="3"/>
  <c r="D46" i="3"/>
  <c r="H25" i="3"/>
  <c r="Q8" i="6" s="1"/>
  <c r="C28" i="3"/>
  <c r="D24" i="3"/>
  <c r="H11" i="3"/>
  <c r="P7" i="5" s="1"/>
  <c r="E44" i="3"/>
  <c r="D44" i="3"/>
  <c r="C38" i="3"/>
  <c r="D38" i="3"/>
  <c r="E38" i="3"/>
  <c r="E36" i="3"/>
  <c r="D36" i="3"/>
  <c r="E32" i="3"/>
  <c r="D32" i="3"/>
  <c r="E30" i="3"/>
  <c r="N6" i="5"/>
  <c r="E26" i="3"/>
  <c r="D26" i="3"/>
  <c r="E24" i="3"/>
  <c r="AE11" i="5"/>
  <c r="AD11" i="5"/>
  <c r="AC11" i="5"/>
  <c r="AB11" i="5"/>
  <c r="AE10" i="5"/>
  <c r="AD10" i="5"/>
  <c r="AC10" i="5"/>
  <c r="AB10" i="5"/>
  <c r="AE9" i="5"/>
  <c r="AD9" i="5"/>
  <c r="AC9" i="5"/>
  <c r="AB9" i="5"/>
  <c r="AE8" i="5"/>
  <c r="AD8" i="5"/>
  <c r="AC8" i="5"/>
  <c r="AB8" i="5"/>
  <c r="AE7" i="5"/>
  <c r="AD7" i="5"/>
  <c r="AC7" i="5"/>
  <c r="AB7" i="5"/>
  <c r="AE6" i="5"/>
  <c r="AD6" i="5"/>
  <c r="AC6" i="5"/>
  <c r="AB6" i="5"/>
  <c r="AE5" i="5"/>
  <c r="AD5" i="5"/>
  <c r="AC5" i="5"/>
  <c r="AB5" i="5"/>
  <c r="AA5" i="5"/>
  <c r="AC4" i="5"/>
  <c r="AB4" i="5"/>
  <c r="T11" i="5"/>
  <c r="S11" i="5"/>
  <c r="R11" i="5"/>
  <c r="Q11" i="5"/>
  <c r="T10" i="5"/>
  <c r="S10" i="5"/>
  <c r="R10" i="5"/>
  <c r="Q10" i="5"/>
  <c r="T9" i="5"/>
  <c r="S9" i="5"/>
  <c r="R9" i="5"/>
  <c r="Q9" i="5"/>
  <c r="T8" i="5"/>
  <c r="S8" i="5"/>
  <c r="R8" i="5"/>
  <c r="T7" i="5"/>
  <c r="S7" i="5"/>
  <c r="R7" i="5"/>
  <c r="T6" i="5"/>
  <c r="S6" i="5"/>
  <c r="R6" i="5"/>
  <c r="T5" i="5"/>
  <c r="S5" i="5"/>
  <c r="R5" i="5"/>
  <c r="Q5" i="5"/>
  <c r="P5" i="5"/>
  <c r="T4" i="5"/>
  <c r="S4" i="5"/>
  <c r="R4" i="5"/>
  <c r="Q4" i="5"/>
  <c r="I11" i="5"/>
  <c r="H11" i="5"/>
  <c r="G11" i="5"/>
  <c r="F11" i="5"/>
  <c r="I10" i="5"/>
  <c r="H10" i="5"/>
  <c r="G10" i="5"/>
  <c r="F10" i="5"/>
  <c r="I9" i="5"/>
  <c r="H9" i="5"/>
  <c r="G9" i="5"/>
  <c r="F9" i="5"/>
  <c r="I8" i="5"/>
  <c r="H8" i="5"/>
  <c r="G8" i="5"/>
  <c r="F8" i="5"/>
  <c r="I7" i="5"/>
  <c r="H7" i="5"/>
  <c r="G7" i="5"/>
  <c r="F7" i="5"/>
  <c r="I6" i="5"/>
  <c r="H6" i="5"/>
  <c r="G6" i="5"/>
  <c r="F6" i="5"/>
  <c r="I5" i="5"/>
  <c r="G5" i="5"/>
  <c r="F5" i="5"/>
  <c r="E5" i="5"/>
  <c r="I4" i="5"/>
  <c r="G4" i="5"/>
  <c r="F4" i="5"/>
  <c r="AA11" i="5"/>
  <c r="Z11" i="5"/>
  <c r="Y11" i="5"/>
  <c r="AA10" i="5"/>
  <c r="Z10" i="5"/>
  <c r="Y10" i="5"/>
  <c r="AA9" i="5"/>
  <c r="Z9" i="5"/>
  <c r="Y9" i="5"/>
  <c r="AA8" i="5"/>
  <c r="Z8" i="5"/>
  <c r="Y8" i="5"/>
  <c r="Z7" i="5"/>
  <c r="Y7" i="5"/>
  <c r="AA6" i="5"/>
  <c r="Z6" i="5"/>
  <c r="Y6" i="5"/>
  <c r="Z5" i="5"/>
  <c r="Y5" i="5"/>
  <c r="X5" i="5"/>
  <c r="AA4" i="5"/>
  <c r="Z4" i="5"/>
  <c r="Y4" i="5"/>
  <c r="P11" i="5"/>
  <c r="O11" i="5"/>
  <c r="N11" i="5"/>
  <c r="P10" i="5"/>
  <c r="O10" i="5"/>
  <c r="N10" i="5"/>
  <c r="P9" i="5"/>
  <c r="O9" i="5"/>
  <c r="N7" i="5"/>
  <c r="P6" i="5"/>
  <c r="O6" i="5"/>
  <c r="O5" i="5"/>
  <c r="N5" i="5"/>
  <c r="P4" i="5"/>
  <c r="O4" i="5"/>
  <c r="N4" i="5"/>
  <c r="M11" i="5"/>
  <c r="M10" i="5"/>
  <c r="M9" i="5"/>
  <c r="M8" i="5"/>
  <c r="M7" i="5"/>
  <c r="M6" i="5"/>
  <c r="M5" i="5"/>
  <c r="M4" i="5"/>
  <c r="X11" i="5"/>
  <c r="X10" i="5"/>
  <c r="X9" i="5"/>
  <c r="X8" i="5"/>
  <c r="X7" i="5"/>
  <c r="X6" i="5"/>
  <c r="X4" i="5"/>
  <c r="E4" i="5"/>
  <c r="E6" i="5"/>
  <c r="E7" i="5"/>
  <c r="E8" i="5"/>
  <c r="E9" i="5"/>
  <c r="E10" i="5"/>
  <c r="E11" i="5"/>
  <c r="D4" i="5"/>
  <c r="D5" i="5"/>
  <c r="D6" i="5"/>
  <c r="D7" i="5"/>
  <c r="D8" i="5"/>
  <c r="D10" i="5"/>
  <c r="D9" i="5"/>
  <c r="D11" i="5"/>
  <c r="C4" i="5"/>
  <c r="C5" i="5"/>
  <c r="C6" i="5"/>
  <c r="C7" i="5"/>
  <c r="C8" i="5"/>
  <c r="C9" i="5"/>
  <c r="C10" i="5"/>
  <c r="C11" i="5"/>
  <c r="B4" i="5"/>
  <c r="B5" i="5"/>
  <c r="B6" i="5"/>
  <c r="B7" i="5"/>
  <c r="B8" i="5"/>
  <c r="B9" i="5"/>
  <c r="B10" i="5"/>
  <c r="B11" i="5"/>
  <c r="M16" i="2"/>
  <c r="H4" i="7" s="1"/>
  <c r="AO4" i="7" s="1"/>
  <c r="O24" i="2"/>
  <c r="N24" i="2"/>
  <c r="O10" i="2"/>
  <c r="N10" i="2"/>
  <c r="O8" i="2"/>
  <c r="N8" i="2"/>
  <c r="O15" i="2"/>
  <c r="N15" i="2"/>
  <c r="O14" i="2"/>
  <c r="N14" i="2"/>
  <c r="M14" i="2"/>
  <c r="H5" i="7" s="1"/>
  <c r="AO5" i="7" s="1"/>
  <c r="O4" i="2"/>
  <c r="N4" i="2"/>
  <c r="N12" i="2"/>
  <c r="M12" i="2"/>
  <c r="H6" i="7" s="1"/>
  <c r="AO6" i="7" s="1"/>
  <c r="O7" i="2"/>
  <c r="E32" i="2"/>
  <c r="E16" i="2"/>
  <c r="D16" i="2"/>
  <c r="E2" i="2"/>
  <c r="D2" i="2"/>
  <c r="H4" i="5" l="1"/>
  <c r="AU22" i="6"/>
  <c r="AT27" i="7"/>
  <c r="H4" i="6"/>
  <c r="AO4" i="6" s="1"/>
  <c r="H6" i="6"/>
  <c r="AO6" i="6" s="1"/>
  <c r="N7" i="2"/>
  <c r="H9" i="6"/>
  <c r="AG11" i="6"/>
  <c r="H5" i="6"/>
  <c r="AO5" i="6" s="1"/>
  <c r="H5" i="5"/>
  <c r="C43" i="3"/>
  <c r="O7" i="7" s="1"/>
  <c r="AK7" i="7" s="1"/>
  <c r="O8" i="6"/>
  <c r="E22" i="3"/>
  <c r="N9" i="7"/>
  <c r="AJ9" i="7" s="1"/>
  <c r="E28" i="3"/>
  <c r="N6" i="6"/>
  <c r="N6" i="7"/>
  <c r="AJ6" i="7" s="1"/>
  <c r="N8" i="7"/>
  <c r="AJ8" i="7" s="1"/>
  <c r="D30" i="3"/>
  <c r="N5" i="7"/>
  <c r="AJ5" i="7" s="1"/>
  <c r="N5" i="6"/>
  <c r="O7" i="5"/>
  <c r="O8" i="5"/>
  <c r="Q8" i="7"/>
  <c r="AM8" i="7" s="1"/>
  <c r="H27" i="3"/>
  <c r="D41" i="3"/>
  <c r="E41" i="3"/>
  <c r="O8" i="7"/>
  <c r="AK8" i="7" s="1"/>
  <c r="P7" i="6"/>
  <c r="P7" i="7"/>
  <c r="AL7" i="7" s="1"/>
  <c r="H9" i="3"/>
  <c r="P8" i="6" s="1"/>
  <c r="Q8" i="5"/>
  <c r="D28" i="3"/>
  <c r="N8" i="5"/>
  <c r="N9" i="5"/>
  <c r="D22" i="3"/>
  <c r="O12" i="2"/>
  <c r="O16" i="2"/>
  <c r="N16" i="2"/>
  <c r="D32" i="2"/>
  <c r="K11" i="6" l="1"/>
  <c r="AO9" i="6"/>
  <c r="AU23" i="6"/>
  <c r="AT28" i="7"/>
  <c r="O7" i="6"/>
  <c r="K4" i="6"/>
  <c r="I14" i="7"/>
  <c r="E43" i="3"/>
  <c r="J25" i="3"/>
  <c r="J27" i="3"/>
  <c r="J9" i="3"/>
  <c r="J11" i="3"/>
  <c r="Q7" i="6"/>
  <c r="Q7" i="7"/>
  <c r="Q7" i="5"/>
  <c r="V11" i="6"/>
  <c r="D43" i="3"/>
  <c r="I27" i="3"/>
  <c r="I9" i="3"/>
  <c r="I11" i="3"/>
  <c r="I25" i="3"/>
  <c r="P8" i="7"/>
  <c r="P8" i="5"/>
  <c r="AP15" i="6" l="1"/>
  <c r="AR15" i="6" s="1"/>
  <c r="AU24" i="6"/>
  <c r="T14" i="7"/>
  <c r="AP15" i="7" s="1"/>
  <c r="AR15" i="7" s="1"/>
  <c r="AM7" i="7"/>
  <c r="M14" i="7"/>
  <c r="AL8" i="7"/>
  <c r="V4" i="6"/>
  <c r="AP14" i="6" s="1"/>
  <c r="AP14" i="7" l="1"/>
  <c r="AR14" i="7" s="1"/>
  <c r="AP16" i="6"/>
  <c r="AR16" i="6" s="1"/>
  <c r="AR14" i="6"/>
  <c r="AU25" i="6"/>
  <c r="AP16" i="7" l="1"/>
  <c r="AR16" i="7" s="1"/>
  <c r="AS20" i="7" s="1"/>
  <c r="AW20" i="7" s="1"/>
  <c r="AT27" i="6"/>
  <c r="AT20" i="6"/>
  <c r="AX20" i="6" s="1"/>
  <c r="AT28" i="6"/>
  <c r="AT15" i="6"/>
  <c r="AX15" i="6" s="1"/>
  <c r="AT22" i="6"/>
  <c r="AX22" i="6" s="1"/>
  <c r="AT16" i="6"/>
  <c r="AX16" i="6" s="1"/>
  <c r="AT19" i="6"/>
  <c r="AX19" i="6" s="1"/>
  <c r="AT21" i="6"/>
  <c r="AX21" i="6" s="1"/>
  <c r="AT23" i="6"/>
  <c r="AX23" i="6" s="1"/>
  <c r="AT24" i="6"/>
  <c r="AX24" i="6" s="1"/>
  <c r="AT17" i="6"/>
  <c r="AX17" i="6" s="1"/>
  <c r="AT25" i="6"/>
  <c r="AX25" i="6" s="1"/>
  <c r="AT18" i="6"/>
  <c r="AX18" i="6" s="1"/>
  <c r="AT26" i="6"/>
  <c r="AT14" i="6"/>
  <c r="AX14" i="6" s="1"/>
  <c r="AS19" i="7"/>
  <c r="AW19" i="7" s="1"/>
  <c r="AS24" i="7"/>
  <c r="AW24" i="7" s="1"/>
  <c r="AS21" i="7"/>
  <c r="AW21" i="7" s="1"/>
  <c r="AS28" i="7"/>
  <c r="AW28" i="7" s="1"/>
  <c r="AS22" i="7"/>
  <c r="AW22" i="7" s="1"/>
  <c r="AU26" i="6"/>
  <c r="AS17" i="7"/>
  <c r="AW17" i="7" s="1"/>
  <c r="AS16" i="7"/>
  <c r="AW16" i="7" s="1"/>
  <c r="AS15" i="7"/>
  <c r="AW15" i="7" s="1"/>
  <c r="AS26" i="7" l="1"/>
  <c r="AW26" i="7" s="1"/>
  <c r="AS14" i="7"/>
  <c r="AW14" i="7" s="1"/>
  <c r="AS27" i="7"/>
  <c r="AW27" i="7" s="1"/>
  <c r="AS18" i="7"/>
  <c r="AW18" i="7" s="1"/>
  <c r="AS25" i="7"/>
  <c r="AW25" i="7" s="1"/>
  <c r="AS23" i="7"/>
  <c r="AW23" i="7" s="1"/>
  <c r="AX26" i="6"/>
  <c r="AU27" i="6"/>
  <c r="AU28" i="6" l="1"/>
  <c r="AX27" i="6"/>
  <c r="AX28" i="6" l="1"/>
</calcChain>
</file>

<file path=xl/sharedStrings.xml><?xml version="1.0" encoding="utf-8"?>
<sst xmlns="http://schemas.openxmlformats.org/spreadsheetml/2006/main" count="585" uniqueCount="227">
  <si>
    <t>Deze rekensheet is een overzicht van de gewichtverdeling van de gehele boerderij</t>
  </si>
  <si>
    <t>Datum balans opmaak: 7-3-2025</t>
  </si>
  <si>
    <t>Blad verdieping 1, 0 en -1</t>
  </si>
  <si>
    <t>Het raster is gemaakt op basis van de bouwtechnische indeling</t>
  </si>
  <si>
    <t>In de momentenbalans is de zwaartekrachtversnelling g niet meegenomen, immers is deze over de gehele boerderij constant.</t>
  </si>
  <si>
    <t>Per vak zijn alle onderdelen aangegeven, met daarbij een inschatting van de grootte van de massa in kilogram. De inschatting is waar mogelijk gedaan op basis van beschikbare data sheets en machine specificaties.</t>
  </si>
  <si>
    <r>
      <rPr>
        <sz val="11"/>
        <color theme="9"/>
        <rFont val="Aptos Narrow"/>
        <family val="2"/>
        <scheme val="minor"/>
      </rPr>
      <t>De groene tekstkleur</t>
    </r>
    <r>
      <rPr>
        <sz val="11"/>
        <color theme="4" tint="0.39997558519241921"/>
        <rFont val="Aptos Narrow"/>
        <family val="2"/>
        <scheme val="minor"/>
      </rPr>
      <t xml:space="preserve"> </t>
    </r>
    <r>
      <rPr>
        <sz val="11"/>
        <rFont val="Aptos Narrow"/>
        <family val="2"/>
        <scheme val="minor"/>
      </rPr>
      <t>zijn onderdelen met variërende massa's</t>
    </r>
  </si>
  <si>
    <t>De eenheid van de getallen is kilogram</t>
  </si>
  <si>
    <t>Blad belastingverdeling</t>
  </si>
  <si>
    <t>Op dit blad is de verdeling van alle belastingen weergeven per rastervak per verdieping.</t>
  </si>
  <si>
    <t>Bladen momentverdeling horizontale en verticale as</t>
  </si>
  <si>
    <t>Op deze bladen is de momentverdeling weergegeven per rastervak per verdieping en de momentverdeling per rastervak van de drie verdiepingen bij elkaar opgeteld.</t>
  </si>
  <si>
    <t>De eenheid van de weergegeven getallen is kg*m. Dit is afwijkend van de standaard eenheid Nm, doordat de zwaartekrachtsversnelling niet is meegenomen in de berekening. De zwaartekrachtsversnelling is immers overal constant</t>
  </si>
  <si>
    <t>VERDIEPING 1</t>
  </si>
  <si>
    <t>Gem</t>
  </si>
  <si>
    <t>Max</t>
  </si>
  <si>
    <t>Min</t>
  </si>
  <si>
    <t>A1</t>
  </si>
  <si>
    <t>1x IBC vol</t>
  </si>
  <si>
    <t>D1</t>
  </si>
  <si>
    <t>G1</t>
  </si>
  <si>
    <t>2x ton krachtvoer</t>
  </si>
  <si>
    <t>A2</t>
  </si>
  <si>
    <t>droogvoer bak</t>
  </si>
  <si>
    <t>D2</t>
  </si>
  <si>
    <t>G2</t>
  </si>
  <si>
    <t>voerband</t>
  </si>
  <si>
    <t>A3</t>
  </si>
  <si>
    <t>D3</t>
  </si>
  <si>
    <t>G3</t>
  </si>
  <si>
    <t>2x ton zaagsel en kalk</t>
  </si>
  <si>
    <t>sparing voerband 1,5x1m met voerband</t>
  </si>
  <si>
    <t>A4</t>
  </si>
  <si>
    <t>D4</t>
  </si>
  <si>
    <t>G4</t>
  </si>
  <si>
    <t>melkrobot hekwerk</t>
  </si>
  <si>
    <t>A5</t>
  </si>
  <si>
    <t>D5</t>
  </si>
  <si>
    <t>G5</t>
  </si>
  <si>
    <t>A6</t>
  </si>
  <si>
    <t>D6</t>
  </si>
  <si>
    <t>G6</t>
  </si>
  <si>
    <t>A7</t>
  </si>
  <si>
    <t>D7</t>
  </si>
  <si>
    <t>G7</t>
  </si>
  <si>
    <t>sparing mestput 1x0,5m</t>
  </si>
  <si>
    <t>A8</t>
  </si>
  <si>
    <t>D8</t>
  </si>
  <si>
    <t>G8</t>
  </si>
  <si>
    <t>sparing paal d1,420</t>
  </si>
  <si>
    <t>B1</t>
  </si>
  <si>
    <t>E1</t>
  </si>
  <si>
    <t>H1</t>
  </si>
  <si>
    <t>Houten wand</t>
  </si>
  <si>
    <t>B2</t>
  </si>
  <si>
    <t>E2</t>
  </si>
  <si>
    <t>H2</t>
  </si>
  <si>
    <t>B3</t>
  </si>
  <si>
    <t>E3</t>
  </si>
  <si>
    <t>H3</t>
  </si>
  <si>
    <t>B4</t>
  </si>
  <si>
    <t>E4</t>
  </si>
  <si>
    <t>H4</t>
  </si>
  <si>
    <t>melkrobot installatie</t>
  </si>
  <si>
    <t>B5</t>
  </si>
  <si>
    <t>E5</t>
  </si>
  <si>
    <t>H5</t>
  </si>
  <si>
    <r>
      <rPr>
        <sz val="11"/>
        <rFont val="Aptos Narrow"/>
        <family val="2"/>
        <scheme val="minor"/>
      </rPr>
      <t>compressor</t>
    </r>
    <r>
      <rPr>
        <sz val="11"/>
        <color theme="9"/>
        <rFont val="Aptos Narrow"/>
        <family val="2"/>
        <scheme val="minor"/>
      </rPr>
      <t xml:space="preserve"> uierreiningingstank d0,4 x1m</t>
    </r>
  </si>
  <si>
    <t>B6</t>
  </si>
  <si>
    <t>E6</t>
  </si>
  <si>
    <t>H6</t>
  </si>
  <si>
    <t>B7</t>
  </si>
  <si>
    <t>E7</t>
  </si>
  <si>
    <t>H7</t>
  </si>
  <si>
    <t>B8</t>
  </si>
  <si>
    <t>E8</t>
  </si>
  <si>
    <t>H8</t>
  </si>
  <si>
    <t>C1</t>
  </si>
  <si>
    <t>Brug</t>
  </si>
  <si>
    <t>F1</t>
  </si>
  <si>
    <t>C2</t>
  </si>
  <si>
    <t>F2</t>
  </si>
  <si>
    <t>C3</t>
  </si>
  <si>
    <t>F3</t>
  </si>
  <si>
    <t>C4</t>
  </si>
  <si>
    <t>F4</t>
  </si>
  <si>
    <t>C5</t>
  </si>
  <si>
    <t>F5</t>
  </si>
  <si>
    <t>C6</t>
  </si>
  <si>
    <t>F6</t>
  </si>
  <si>
    <t>C7</t>
  </si>
  <si>
    <t>F7</t>
  </si>
  <si>
    <t>C8</t>
  </si>
  <si>
    <t>F8</t>
  </si>
  <si>
    <t>OPMERKINGEN / AANVULLENDE GEGEVENS</t>
  </si>
  <si>
    <t>BELASTING OVER MEERDERE VAKKEN</t>
  </si>
  <si>
    <t>Stal indeling in beide inrichtingen uniform</t>
  </si>
  <si>
    <t>H</t>
  </si>
  <si>
    <t>Plankenmuur h 4m</t>
  </si>
  <si>
    <t>D1 tm G1</t>
  </si>
  <si>
    <t>Voer</t>
  </si>
  <si>
    <r>
      <t xml:space="preserve">Dikte stalvloer </t>
    </r>
    <r>
      <rPr>
        <sz val="11"/>
        <rFont val="Aptos Narrow"/>
        <family val="2"/>
        <scheme val="minor"/>
      </rPr>
      <t>5</t>
    </r>
    <r>
      <rPr>
        <sz val="11"/>
        <color theme="1"/>
        <rFont val="Aptos Narrow"/>
        <family val="2"/>
        <scheme val="minor"/>
      </rPr>
      <t>cm [kg/m3]</t>
    </r>
  </si>
  <si>
    <t>D2 tm G2</t>
  </si>
  <si>
    <t>Koeien</t>
  </si>
  <si>
    <t>C8 tm G8</t>
  </si>
  <si>
    <t>C7 tm G7</t>
  </si>
  <si>
    <t>koeien</t>
  </si>
  <si>
    <t>VERDIEPING 0</t>
  </si>
  <si>
    <t>afval container groot + klein</t>
  </si>
  <si>
    <t>4x grijze kist</t>
  </si>
  <si>
    <t>bezorgboxen opslag</t>
  </si>
  <si>
    <t>voerbaal</t>
  </si>
  <si>
    <t>3x wasmachine</t>
  </si>
  <si>
    <t>koeling</t>
  </si>
  <si>
    <t>dekvloer</t>
  </si>
  <si>
    <t>0,5 combi cutter</t>
  </si>
  <si>
    <t>zuivel</t>
  </si>
  <si>
    <t>voercilo en voerband</t>
  </si>
  <si>
    <t>opslag zuivel</t>
  </si>
  <si>
    <t>ziltinstallatie</t>
  </si>
  <si>
    <t>mesttrechter 0,5x2m</t>
  </si>
  <si>
    <t>2x IBC (natte en drogge mest)</t>
  </si>
  <si>
    <t>4x pallet zuivelverpakkingen</t>
  </si>
  <si>
    <t>papiercontainer en pallet</t>
  </si>
  <si>
    <t>lichte staalkast</t>
  </si>
  <si>
    <t>sparing trap 2,8x1,1m</t>
  </si>
  <si>
    <t>3x regenwater IBC</t>
  </si>
  <si>
    <t>2x kast licht</t>
  </si>
  <si>
    <t>WR unit</t>
  </si>
  <si>
    <r>
      <t>sparin</t>
    </r>
    <r>
      <rPr>
        <sz val="11"/>
        <rFont val="Aptos Narrow"/>
        <family val="2"/>
        <scheme val="minor"/>
      </rPr>
      <t>g lift 2,5x3m</t>
    </r>
  </si>
  <si>
    <r>
      <t xml:space="preserve">3x installaties </t>
    </r>
    <r>
      <rPr>
        <sz val="11"/>
        <color theme="9"/>
        <rFont val="Aptos Narrow"/>
        <family val="2"/>
        <scheme val="minor"/>
      </rPr>
      <t>met d0,7 x1,2m tank</t>
    </r>
  </si>
  <si>
    <t>zonnecel</t>
  </si>
  <si>
    <t>20x22L jerrycans</t>
  </si>
  <si>
    <t>sparing trap 2,8x1,2m</t>
  </si>
  <si>
    <t>1x IBC klein vol</t>
  </si>
  <si>
    <t>extra I-profiel 2x4m</t>
  </si>
  <si>
    <t>traywash</t>
  </si>
  <si>
    <t>vriezer</t>
  </si>
  <si>
    <t>shovel (ri G)</t>
  </si>
  <si>
    <t>melktank 3600L</t>
  </si>
  <si>
    <t>SIPLO (ri. G)</t>
  </si>
  <si>
    <t>broedcel</t>
  </si>
  <si>
    <t xml:space="preserve">VF-bakbewerking </t>
  </si>
  <si>
    <t>grijze kist agrifirm</t>
  </si>
  <si>
    <t>zaagsel pallet</t>
  </si>
  <si>
    <t>pallet kokos 13x4 50L</t>
  </si>
  <si>
    <t>bigbags leeg</t>
  </si>
  <si>
    <t>Dikte zuivelvloer 10cm [kg/m3]</t>
  </si>
  <si>
    <t>Dikte vloer 20cm [kg/m3]</t>
  </si>
  <si>
    <t>VERDIEPING -1</t>
  </si>
  <si>
    <t>x</t>
  </si>
  <si>
    <t>opslag</t>
  </si>
  <si>
    <t>kaasstelling half</t>
  </si>
  <si>
    <t>kaasstelling vol</t>
  </si>
  <si>
    <t>VF</t>
  </si>
  <si>
    <t>VF lift</t>
  </si>
  <si>
    <t>EPS vloer</t>
  </si>
  <si>
    <t>watertank VF d1,5 x1,8 m</t>
  </si>
  <si>
    <t>2x stalen kast zwaar</t>
  </si>
  <si>
    <t>werkbank</t>
  </si>
  <si>
    <t>3x IBC vol</t>
  </si>
  <si>
    <t>stalen trap</t>
  </si>
  <si>
    <t>5x kaasplank</t>
  </si>
  <si>
    <t>houten trap + EPS vloer</t>
  </si>
  <si>
    <t>3,4x IBC vol</t>
  </si>
  <si>
    <t>2x WC</t>
  </si>
  <si>
    <t>vuilwatertank 80x120x250 cm</t>
  </si>
  <si>
    <t xml:space="preserve">opslag </t>
  </si>
  <si>
    <t>3x kaasplank</t>
  </si>
  <si>
    <t>4x kaasplank</t>
  </si>
  <si>
    <t>kaasstelling bijna leeg</t>
  </si>
  <si>
    <t>LBK</t>
  </si>
  <si>
    <t>B6 t/m G6 + B7 t/m G7 EPS vloer</t>
  </si>
  <si>
    <t>Belastingsverdeling (Eenheid: kilogram)</t>
  </si>
  <si>
    <t>A</t>
  </si>
  <si>
    <t>B</t>
  </si>
  <si>
    <t>C</t>
  </si>
  <si>
    <t>D</t>
  </si>
  <si>
    <t>E</t>
  </si>
  <si>
    <t>F</t>
  </si>
  <si>
    <t>G</t>
  </si>
  <si>
    <t>I</t>
  </si>
  <si>
    <t>Moment verdeling horizontale as (Eenheid: kg*m)</t>
  </si>
  <si>
    <t>TOTAAL</t>
  </si>
  <si>
    <t>Totaal moment bovenste helft</t>
  </si>
  <si>
    <t>Totaal moment onderste helft</t>
  </si>
  <si>
    <t>Totaal moment verschil</t>
  </si>
  <si>
    <t>Pos waarde betekent meer gewicht bovenste helft</t>
  </si>
  <si>
    <t>Moment verdeling verticale as (Eenheid: kg*m)</t>
  </si>
  <si>
    <t>Totaal moment linkerhelft</t>
  </si>
  <si>
    <t>Totaal moment rechterhelft</t>
  </si>
  <si>
    <t xml:space="preserve">Pos waarde betekend meer gewicht linkerhelft </t>
  </si>
  <si>
    <t>Waarin:</t>
  </si>
  <si>
    <t>𝑀 = 𝐹 ⋅ 𝑠</t>
  </si>
  <si>
    <t>Waarin de symbolen de volgende betekenis hebben:</t>
  </si>
  <si>
    <t>M = het moment [Nm]</t>
  </si>
  <si>
    <t>F = de kracht (het gewicht per raster vak) [N]</t>
  </si>
  <si>
    <t>s = de arm [m]</t>
  </si>
  <si>
    <t>𝐹 = 𝜌 ⋅ 𝑉 ⋅ 𝑔</t>
  </si>
  <si>
    <t>𝐹  = 𝑀⋅ 𝑠</t>
  </si>
  <si>
    <t>dichtheidvloeistof (kg/m³)</t>
  </si>
  <si>
    <t>F: opwaartse kracht [N]</t>
  </si>
  <si>
    <t>V: volume van de verplaatste vloeistof [m³]</t>
  </si>
  <si>
    <t>ρ: dichtheid van de vloeistof [kg/m³]</t>
  </si>
  <si>
    <t>g: gravitatieversnelling [N]</t>
  </si>
  <si>
    <t>arm tot middelpunt van tank(m)</t>
  </si>
  <si>
    <t>volume tank (m³)</t>
  </si>
  <si>
    <t>zwaartekracht (N)</t>
  </si>
  <si>
    <t xml:space="preserve">𝑉  = 𝐹/𝑔 ⋅ 𝜌 </t>
  </si>
  <si>
    <t>kg*m</t>
  </si>
  <si>
    <t>N*m</t>
  </si>
  <si>
    <t>1 kg*m to 1 N*m</t>
  </si>
  <si>
    <t>𝑉  = 𝑔 ⋅ 𝜌/(𝑀⋅ 𝑠)</t>
  </si>
  <si>
    <t>Moment abs (Nm)</t>
  </si>
  <si>
    <t>breed</t>
  </si>
  <si>
    <t>lengthe</t>
  </si>
  <si>
    <t>formaat beton blok</t>
  </si>
  <si>
    <t xml:space="preserve">hoogte </t>
  </si>
  <si>
    <t>grote floating farm (m)</t>
  </si>
  <si>
    <t>grote schaal model (cm)</t>
  </si>
  <si>
    <t>volume</t>
  </si>
  <si>
    <t>grote floating farm (cm)</t>
  </si>
  <si>
    <t>ration</t>
  </si>
  <si>
    <t>drijf tank volume</t>
  </si>
  <si>
    <t>m^3</t>
  </si>
  <si>
    <t>cm^3</t>
  </si>
  <si>
    <t>alle koeien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</si>
</sst>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0000"/>
    <numFmt numFmtId="165" formatCode="_ * #,##0_ ;_ * \-#,##0_ ;_ * &quot;-&quot;??_ ;_ @_ "/>
  </numFmts>
  <fonts count="7" x14ac:knownFonts="1">
    <font>
      <sz val="11"/>
      <color theme="1"/>
      <name val="Aptos Narrow"/>
      <family val="2"/>
      <scheme val="minor"/>
    </font>
    <font>
      <b/>
      <sz val="11"/>
      <color theme="1"/>
      <name val="Aptos Narrow"/>
      <family val="2"/>
      <scheme val="minor"/>
    </font>
    <font>
      <sz val="8"/>
      <name val="Aptos Narrow"/>
      <family val="2"/>
      <scheme val="minor"/>
    </font>
    <font>
      <sz val="11"/>
      <color theme="4" tint="0.39997558519241921"/>
      <name val="Aptos Narrow"/>
      <family val="2"/>
      <scheme val="minor"/>
    </font>
    <font>
      <sz val="11"/>
      <name val="Aptos Narrow"/>
      <family val="2"/>
      <scheme val="minor"/>
    </font>
    <font>
      <sz val="11"/>
      <color theme="9"/>
      <name val="Aptos Narrow"/>
      <family val="2"/>
      <scheme val="minor"/>
    </font>
    <font>
      <sz val="11"/>
      <color theme="1"/>
      <name val="Aptos Narrow"/>
      <family val="2"/>
      <scheme val="minor"/>
    </font>
  </fonts>
  <fills count="2">
    <fill>
      <patternFill patternType="none"/>
    </fill>
    <fill>
      <patternFill patternType="gray125"/>
    </fill>
  </fills>
  <borders count="33">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2">
    <xf numFmtId="0" fontId="0" fillId="0" borderId="0"/>
    <xf numFmtId="43" fontId="6" fillId="0" borderId="0" applyFont="0" applyFill="0" applyBorder="0" applyAlignment="0" applyProtection="0"/>
  </cellStyleXfs>
  <cellXfs count="5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3" fillId="0" borderId="0" xfId="0" applyFont="1"/>
    <xf numFmtId="0" fontId="1" fillId="0" borderId="0" xfId="0" applyFont="1"/>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xf>
    <xf numFmtId="0" fontId="5" fillId="0" borderId="0" xfId="0" applyFont="1"/>
    <xf numFmtId="0" fontId="5" fillId="0" borderId="1" xfId="0" applyFont="1" applyBorder="1"/>
    <xf numFmtId="0" fontId="0" fillId="0" borderId="0" xfId="0" applyAlignment="1">
      <alignment horizontal="right"/>
    </xf>
    <xf numFmtId="0" fontId="4" fillId="0" borderId="0" xfId="0" applyFont="1"/>
    <xf numFmtId="0" fontId="0" fillId="0" borderId="6"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0" xfId="0" applyAlignment="1">
      <alignment vertical="center"/>
    </xf>
    <xf numFmtId="0" fontId="4" fillId="0" borderId="3" xfId="0" applyFont="1" applyBorder="1"/>
    <xf numFmtId="0" fontId="4" fillId="0" borderId="1" xfId="0" applyFont="1" applyBorder="1"/>
    <xf numFmtId="0" fontId="0" fillId="0" borderId="7" xfId="0" applyBorder="1"/>
    <xf numFmtId="0" fontId="0" fillId="0" borderId="8" xfId="0" applyBorder="1"/>
    <xf numFmtId="0" fontId="0" fillId="0" borderId="0" xfId="0" applyBorder="1"/>
    <xf numFmtId="164" fontId="0" fillId="0" borderId="0" xfId="0" applyNumberFormat="1" applyFont="1"/>
    <xf numFmtId="0" fontId="0" fillId="0" borderId="0" xfId="0" applyAlignment="1">
      <alignment horizontal="left"/>
    </xf>
    <xf numFmtId="165" fontId="0" fillId="0" borderId="0" xfId="1" applyNumberFormat="1" applyFont="1"/>
    <xf numFmtId="165" fontId="0" fillId="0" borderId="0" xfId="0" applyNumberFormat="1"/>
  </cellXfs>
  <cellStyles count="2">
    <cellStyle name="Komma" xfId="1" builtinId="3"/>
    <cellStyle name="Standaard" xfId="0" builtinId="0"/>
  </cellStyles>
  <dxfs count="0"/>
  <tableStyles count="1" defaultTableStyle="TableStyleMedium2" defaultPivotStyle="PivotStyleLight16">
    <tableStyle name="Invisible" pivot="0" table="0" count="0" xr9:uid="{17ED009F-18C0-4464-B7DD-0BC3AC01B435}"/>
  </tableStyles>
  <colors>
    <mruColors>
      <color rgb="FFFF6161"/>
      <color rgb="FFFF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5702-5F98-4EF8-A149-15FB2E56B1EA}">
  <dimension ref="A1:A17"/>
  <sheetViews>
    <sheetView zoomScale="134" workbookViewId="0">
      <selection activeCell="L28" sqref="L28"/>
    </sheetView>
  </sheetViews>
  <sheetFormatPr defaultRowHeight="14.4" x14ac:dyDescent="0.3"/>
  <sheetData>
    <row r="1" spans="1:1" x14ac:dyDescent="0.3">
      <c r="A1" t="s">
        <v>0</v>
      </c>
    </row>
    <row r="2" spans="1:1" x14ac:dyDescent="0.3">
      <c r="A2" t="s">
        <v>1</v>
      </c>
    </row>
    <row r="4" spans="1:1" x14ac:dyDescent="0.3">
      <c r="A4" s="7" t="s">
        <v>2</v>
      </c>
    </row>
    <row r="5" spans="1:1" x14ac:dyDescent="0.3">
      <c r="A5" t="s">
        <v>3</v>
      </c>
    </row>
    <row r="6" spans="1:1" x14ac:dyDescent="0.3">
      <c r="A6" t="s">
        <v>4</v>
      </c>
    </row>
    <row r="7" spans="1:1" x14ac:dyDescent="0.3">
      <c r="A7" t="s">
        <v>5</v>
      </c>
    </row>
    <row r="8" spans="1:1" x14ac:dyDescent="0.3">
      <c r="A8" s="6" t="s">
        <v>6</v>
      </c>
    </row>
    <row r="9" spans="1:1" x14ac:dyDescent="0.3">
      <c r="A9" t="s">
        <v>7</v>
      </c>
    </row>
    <row r="11" spans="1:1" x14ac:dyDescent="0.3">
      <c r="A11" s="7" t="s">
        <v>8</v>
      </c>
    </row>
    <row r="12" spans="1:1" x14ac:dyDescent="0.3">
      <c r="A12" t="s">
        <v>9</v>
      </c>
    </row>
    <row r="13" spans="1:1" x14ac:dyDescent="0.3">
      <c r="A13" t="s">
        <v>7</v>
      </c>
    </row>
    <row r="15" spans="1:1" x14ac:dyDescent="0.3">
      <c r="A15" s="7" t="s">
        <v>10</v>
      </c>
    </row>
    <row r="16" spans="1:1" x14ac:dyDescent="0.3">
      <c r="A16" t="s">
        <v>11</v>
      </c>
    </row>
    <row r="17" spans="1:1" x14ac:dyDescent="0.3">
      <c r="A1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6690-25F0-4599-9992-736BE7C8D663}">
  <dimension ref="A1:O56"/>
  <sheetViews>
    <sheetView tabSelected="1" topLeftCell="A28" workbookViewId="0">
      <selection activeCell="J40" sqref="J40"/>
    </sheetView>
  </sheetViews>
  <sheetFormatPr defaultRowHeight="14.4" x14ac:dyDescent="0.3"/>
  <cols>
    <col min="1" max="1" width="3.33203125" bestFit="1" customWidth="1"/>
    <col min="2" max="2" width="33.33203125" customWidth="1"/>
    <col min="3" max="3" width="9.88671875" bestFit="1" customWidth="1"/>
    <col min="6" max="6" width="3.33203125" bestFit="1" customWidth="1"/>
    <col min="7" max="7" width="33.33203125" customWidth="1"/>
    <col min="11" max="11" width="3.33203125" bestFit="1" customWidth="1"/>
    <col min="12" max="12" width="33.33203125" customWidth="1"/>
  </cols>
  <sheetData>
    <row r="1" spans="1:15" x14ac:dyDescent="0.3">
      <c r="A1" t="s">
        <v>13</v>
      </c>
      <c r="C1" t="s">
        <v>14</v>
      </c>
      <c r="D1" t="s">
        <v>15</v>
      </c>
      <c r="E1" t="s">
        <v>16</v>
      </c>
      <c r="H1" t="s">
        <v>14</v>
      </c>
      <c r="I1" t="s">
        <v>15</v>
      </c>
      <c r="J1" t="s">
        <v>16</v>
      </c>
      <c r="M1" t="s">
        <v>14</v>
      </c>
      <c r="N1" t="s">
        <v>15</v>
      </c>
      <c r="O1" t="s">
        <v>16</v>
      </c>
    </row>
    <row r="2" spans="1:15" x14ac:dyDescent="0.3">
      <c r="A2" s="1" t="s">
        <v>17</v>
      </c>
      <c r="B2" s="1" t="s">
        <v>18</v>
      </c>
      <c r="C2" s="1">
        <v>1000</v>
      </c>
      <c r="D2" s="1">
        <f>C2</f>
        <v>1000</v>
      </c>
      <c r="E2" s="2">
        <f>C2</f>
        <v>1000</v>
      </c>
      <c r="F2" s="1" t="s">
        <v>19</v>
      </c>
      <c r="G2" s="1"/>
      <c r="H2" s="1"/>
      <c r="I2" s="1"/>
      <c r="J2" s="2"/>
      <c r="K2" s="1" t="s">
        <v>20</v>
      </c>
      <c r="L2" s="1"/>
      <c r="M2" s="1"/>
      <c r="N2" s="1"/>
      <c r="O2" s="2"/>
    </row>
    <row r="3" spans="1:15" x14ac:dyDescent="0.3">
      <c r="B3" s="11" t="s">
        <v>21</v>
      </c>
      <c r="C3">
        <v>100</v>
      </c>
      <c r="D3">
        <v>150</v>
      </c>
      <c r="E3" s="3">
        <v>50</v>
      </c>
      <c r="J3" s="3"/>
      <c r="O3" s="3"/>
    </row>
    <row r="4" spans="1:15" x14ac:dyDescent="0.3">
      <c r="A4" s="1" t="s">
        <v>22</v>
      </c>
      <c r="B4" s="12" t="s">
        <v>23</v>
      </c>
      <c r="C4" s="1">
        <v>100</v>
      </c>
      <c r="D4" s="1">
        <v>100</v>
      </c>
      <c r="E4" s="2">
        <v>100</v>
      </c>
      <c r="F4" s="1" t="s">
        <v>24</v>
      </c>
      <c r="G4" s="1"/>
      <c r="H4" s="1"/>
      <c r="I4" s="1"/>
      <c r="J4" s="2"/>
      <c r="K4" s="1" t="s">
        <v>25</v>
      </c>
      <c r="L4" s="1" t="s">
        <v>26</v>
      </c>
      <c r="M4" s="1">
        <v>700</v>
      </c>
      <c r="N4" s="1">
        <f>M4</f>
        <v>700</v>
      </c>
      <c r="O4" s="2">
        <f>M4</f>
        <v>700</v>
      </c>
    </row>
    <row r="5" spans="1:15" x14ac:dyDescent="0.3">
      <c r="E5" s="3"/>
      <c r="J5" s="3"/>
      <c r="O5" s="3"/>
    </row>
    <row r="6" spans="1:15" x14ac:dyDescent="0.3">
      <c r="A6" s="1" t="s">
        <v>27</v>
      </c>
      <c r="B6" s="1"/>
      <c r="C6" s="1"/>
      <c r="D6" s="1"/>
      <c r="E6" s="2"/>
      <c r="F6" s="1" t="s">
        <v>28</v>
      </c>
      <c r="G6" s="1"/>
      <c r="H6" s="1"/>
      <c r="I6" s="1"/>
      <c r="J6" s="2"/>
      <c r="K6" s="1" t="s">
        <v>29</v>
      </c>
      <c r="L6" s="12" t="s">
        <v>30</v>
      </c>
      <c r="M6" s="1">
        <v>50</v>
      </c>
      <c r="N6" s="1">
        <v>75</v>
      </c>
      <c r="O6" s="2">
        <v>0</v>
      </c>
    </row>
    <row r="7" spans="1:15" x14ac:dyDescent="0.3">
      <c r="E7" s="3"/>
      <c r="J7" s="3"/>
      <c r="L7" t="s">
        <v>31</v>
      </c>
      <c r="M7" s="14">
        <f>((1.5*1*0.05)*C54)+M4</f>
        <v>512.5</v>
      </c>
      <c r="N7">
        <f>M7</f>
        <v>512.5</v>
      </c>
      <c r="O7" s="3">
        <f>M7</f>
        <v>512.5</v>
      </c>
    </row>
    <row r="8" spans="1:15" x14ac:dyDescent="0.3">
      <c r="A8" s="1" t="s">
        <v>32</v>
      </c>
      <c r="B8" s="1"/>
      <c r="C8" s="1"/>
      <c r="D8" s="1"/>
      <c r="E8" s="2"/>
      <c r="F8" s="1" t="s">
        <v>33</v>
      </c>
      <c r="G8" s="1"/>
      <c r="H8" s="1"/>
      <c r="I8" s="1"/>
      <c r="J8" s="2"/>
      <c r="K8" s="1" t="s">
        <v>34</v>
      </c>
      <c r="L8" s="1" t="s">
        <v>35</v>
      </c>
      <c r="M8" s="1">
        <v>50</v>
      </c>
      <c r="N8" s="1">
        <f>M8</f>
        <v>50</v>
      </c>
      <c r="O8" s="2">
        <f>M8</f>
        <v>50</v>
      </c>
    </row>
    <row r="9" spans="1:15" x14ac:dyDescent="0.3">
      <c r="E9" s="3"/>
      <c r="J9" s="3"/>
      <c r="O9" s="3"/>
    </row>
    <row r="10" spans="1:15" x14ac:dyDescent="0.3">
      <c r="A10" s="1" t="s">
        <v>36</v>
      </c>
      <c r="B10" s="1"/>
      <c r="C10" s="1"/>
      <c r="D10" s="1"/>
      <c r="E10" s="2"/>
      <c r="F10" s="1" t="s">
        <v>37</v>
      </c>
      <c r="G10" s="1"/>
      <c r="H10" s="1"/>
      <c r="I10" s="1"/>
      <c r="J10" s="2"/>
      <c r="K10" s="1" t="s">
        <v>38</v>
      </c>
      <c r="L10" s="1" t="s">
        <v>35</v>
      </c>
      <c r="M10" s="1">
        <v>50</v>
      </c>
      <c r="N10" s="1">
        <f>M10</f>
        <v>50</v>
      </c>
      <c r="O10" s="2">
        <f>M10</f>
        <v>50</v>
      </c>
    </row>
    <row r="11" spans="1:15" x14ac:dyDescent="0.3">
      <c r="E11" s="3"/>
      <c r="J11" s="3"/>
      <c r="O11" s="3"/>
    </row>
    <row r="12" spans="1:15" x14ac:dyDescent="0.3">
      <c r="A12" s="1" t="s">
        <v>39</v>
      </c>
      <c r="B12" s="1"/>
      <c r="C12" s="1"/>
      <c r="D12" s="1"/>
      <c r="E12" s="2"/>
      <c r="F12" s="1" t="s">
        <v>40</v>
      </c>
      <c r="G12" s="1"/>
      <c r="H12" s="1"/>
      <c r="I12" s="1"/>
      <c r="J12" s="2"/>
      <c r="K12" s="1" t="s">
        <v>41</v>
      </c>
      <c r="L12" s="1" t="s">
        <v>31</v>
      </c>
      <c r="M12" s="1">
        <f>M7</f>
        <v>512.5</v>
      </c>
      <c r="N12" s="1">
        <f>M7</f>
        <v>512.5</v>
      </c>
      <c r="O12" s="2">
        <f>M7</f>
        <v>512.5</v>
      </c>
    </row>
    <row r="13" spans="1:15" x14ac:dyDescent="0.3">
      <c r="E13" s="3"/>
      <c r="J13" s="3"/>
      <c r="O13" s="3"/>
    </row>
    <row r="14" spans="1:15" x14ac:dyDescent="0.3">
      <c r="A14" s="1" t="s">
        <v>42</v>
      </c>
      <c r="B14" s="1"/>
      <c r="C14" s="1"/>
      <c r="D14" s="1"/>
      <c r="E14" s="2"/>
      <c r="F14" s="1" t="s">
        <v>43</v>
      </c>
      <c r="G14" s="1"/>
      <c r="H14" s="1"/>
      <c r="I14" s="1"/>
      <c r="J14" s="2"/>
      <c r="K14" s="1" t="s">
        <v>44</v>
      </c>
      <c r="L14" s="1" t="s">
        <v>26</v>
      </c>
      <c r="M14" s="1">
        <f>M4</f>
        <v>700</v>
      </c>
      <c r="N14" s="1">
        <f>M4</f>
        <v>700</v>
      </c>
      <c r="O14" s="2">
        <f>M4</f>
        <v>700</v>
      </c>
    </row>
    <row r="15" spans="1:15" x14ac:dyDescent="0.3">
      <c r="E15" s="3"/>
      <c r="J15" s="3"/>
      <c r="L15" t="s">
        <v>45</v>
      </c>
      <c r="M15">
        <f>(1*0.5*0.05)*C54</f>
        <v>-62.5</v>
      </c>
      <c r="N15">
        <f>M15</f>
        <v>-62.5</v>
      </c>
      <c r="O15" s="3">
        <f>M15</f>
        <v>-62.5</v>
      </c>
    </row>
    <row r="16" spans="1:15" x14ac:dyDescent="0.3">
      <c r="A16" s="1" t="s">
        <v>46</v>
      </c>
      <c r="B16" s="1" t="s">
        <v>18</v>
      </c>
      <c r="C16" s="1">
        <v>1000</v>
      </c>
      <c r="D16" s="1">
        <f>C16</f>
        <v>1000</v>
      </c>
      <c r="E16" s="2">
        <f>C16</f>
        <v>1000</v>
      </c>
      <c r="F16" s="1" t="s">
        <v>47</v>
      </c>
      <c r="G16" s="1"/>
      <c r="H16" s="1"/>
      <c r="I16" s="1"/>
      <c r="J16" s="2"/>
      <c r="K16" s="1" t="s">
        <v>48</v>
      </c>
      <c r="L16" s="1" t="s">
        <v>49</v>
      </c>
      <c r="M16" s="1">
        <f>C32</f>
        <v>-197.95960708432685</v>
      </c>
      <c r="N16" s="1">
        <f>M16</f>
        <v>-197.95960708432685</v>
      </c>
      <c r="O16" s="2">
        <f>M16</f>
        <v>-197.95960708432685</v>
      </c>
    </row>
    <row r="17" spans="1:15" x14ac:dyDescent="0.3">
      <c r="E17" s="3"/>
      <c r="J17" s="3"/>
      <c r="O17" s="3"/>
    </row>
    <row r="18" spans="1:15" x14ac:dyDescent="0.3">
      <c r="A18" s="1" t="s">
        <v>50</v>
      </c>
      <c r="B18" s="1"/>
      <c r="C18" s="1"/>
      <c r="D18" s="1"/>
      <c r="E18" s="2"/>
      <c r="F18" s="1" t="s">
        <v>51</v>
      </c>
      <c r="G18" s="1"/>
      <c r="H18" s="1"/>
      <c r="I18" s="1"/>
      <c r="J18" s="2"/>
      <c r="K18" s="1" t="s">
        <v>52</v>
      </c>
      <c r="L18" s="1" t="s">
        <v>53</v>
      </c>
      <c r="M18" s="1">
        <f>(0.03*3.75*2.5)*460</f>
        <v>129.375</v>
      </c>
      <c r="N18" s="1">
        <f>M18</f>
        <v>129.375</v>
      </c>
      <c r="O18" s="2">
        <f>M18</f>
        <v>129.375</v>
      </c>
    </row>
    <row r="19" spans="1:15" x14ac:dyDescent="0.3">
      <c r="E19" s="3"/>
      <c r="J19" s="3"/>
      <c r="O19" s="3"/>
    </row>
    <row r="20" spans="1:15" x14ac:dyDescent="0.3">
      <c r="A20" s="1" t="s">
        <v>54</v>
      </c>
      <c r="B20" s="1"/>
      <c r="C20" s="1"/>
      <c r="D20" s="1"/>
      <c r="E20" s="2"/>
      <c r="F20" s="1" t="s">
        <v>55</v>
      </c>
      <c r="G20" s="1"/>
      <c r="H20" s="1"/>
      <c r="I20" s="1"/>
      <c r="J20" s="2"/>
      <c r="K20" s="1" t="s">
        <v>56</v>
      </c>
      <c r="L20" s="1" t="s">
        <v>53</v>
      </c>
      <c r="M20" s="1">
        <f>(0.03*3.75*2.5)*460</f>
        <v>129.375</v>
      </c>
      <c r="N20" s="1">
        <f>M20</f>
        <v>129.375</v>
      </c>
      <c r="O20" s="2">
        <f>M20</f>
        <v>129.375</v>
      </c>
    </row>
    <row r="21" spans="1:15" x14ac:dyDescent="0.3">
      <c r="E21" s="3"/>
      <c r="J21" s="3"/>
      <c r="O21" s="3"/>
    </row>
    <row r="22" spans="1:15" x14ac:dyDescent="0.3">
      <c r="A22" s="1" t="s">
        <v>57</v>
      </c>
      <c r="B22" s="1"/>
      <c r="C22" s="1"/>
      <c r="D22" s="1"/>
      <c r="E22" s="2"/>
      <c r="F22" s="1" t="s">
        <v>58</v>
      </c>
      <c r="G22" s="1"/>
      <c r="H22" s="1"/>
      <c r="I22" s="1"/>
      <c r="J22" s="2"/>
      <c r="K22" s="1" t="s">
        <v>59</v>
      </c>
      <c r="L22" s="1" t="s">
        <v>53</v>
      </c>
      <c r="M22" s="1">
        <f>(0.03*3.75*2.5)*460</f>
        <v>129.375</v>
      </c>
      <c r="N22" s="1">
        <f>M22</f>
        <v>129.375</v>
      </c>
      <c r="O22" s="2">
        <f>M22</f>
        <v>129.375</v>
      </c>
    </row>
    <row r="23" spans="1:15" x14ac:dyDescent="0.3">
      <c r="E23" s="3"/>
      <c r="J23" s="3"/>
      <c r="L23" s="4"/>
      <c r="O23" s="3"/>
    </row>
    <row r="24" spans="1:15" x14ac:dyDescent="0.3">
      <c r="A24" s="1" t="s">
        <v>60</v>
      </c>
      <c r="B24" s="1"/>
      <c r="C24" s="1"/>
      <c r="D24" s="1"/>
      <c r="E24" s="2"/>
      <c r="F24" s="1" t="s">
        <v>61</v>
      </c>
      <c r="G24" s="1"/>
      <c r="H24" s="1"/>
      <c r="I24" s="1"/>
      <c r="J24" s="2"/>
      <c r="K24" s="1" t="s">
        <v>62</v>
      </c>
      <c r="L24" t="s">
        <v>63</v>
      </c>
      <c r="M24" s="1">
        <v>75</v>
      </c>
      <c r="N24" s="1">
        <f>M24</f>
        <v>75</v>
      </c>
      <c r="O24" s="2">
        <f>M24</f>
        <v>75</v>
      </c>
    </row>
    <row r="25" spans="1:15" x14ac:dyDescent="0.3">
      <c r="E25" s="3"/>
      <c r="J25" s="3"/>
      <c r="L25" s="4" t="s">
        <v>53</v>
      </c>
      <c r="M25" s="4">
        <f>(0.03*3.75*2.5)*460</f>
        <v>129.375</v>
      </c>
      <c r="N25" s="4">
        <f>M25</f>
        <v>129.375</v>
      </c>
      <c r="O25" s="5">
        <f>M25</f>
        <v>129.375</v>
      </c>
    </row>
    <row r="26" spans="1:15" x14ac:dyDescent="0.3">
      <c r="A26" s="1" t="s">
        <v>64</v>
      </c>
      <c r="B26" s="1"/>
      <c r="C26" s="1"/>
      <c r="D26" s="1"/>
      <c r="E26" s="2"/>
      <c r="F26" s="1" t="s">
        <v>65</v>
      </c>
      <c r="G26" s="1"/>
      <c r="H26" s="1"/>
      <c r="I26" s="1"/>
      <c r="J26" s="2"/>
      <c r="K26" s="1" t="s">
        <v>66</v>
      </c>
      <c r="L26" s="11" t="s">
        <v>67</v>
      </c>
      <c r="M26">
        <f>((((0.4^2)*PI()/4)*1)*1000*0.6)+50</f>
        <v>125.39822368615503</v>
      </c>
      <c r="N26">
        <f>((((0.4^2)*PI()/4)*1)*1000)+50</f>
        <v>175.66370614359175</v>
      </c>
      <c r="O26" s="3">
        <f>20+50</f>
        <v>70</v>
      </c>
    </row>
    <row r="27" spans="1:15" x14ac:dyDescent="0.3">
      <c r="E27" s="3"/>
      <c r="J27" s="3"/>
      <c r="L27" s="4" t="s">
        <v>53</v>
      </c>
      <c r="M27" s="1">
        <f>(0.03*3.75*2.5)*460</f>
        <v>129.375</v>
      </c>
      <c r="N27" s="1">
        <f>M27</f>
        <v>129.375</v>
      </c>
      <c r="O27" s="2">
        <f>M27</f>
        <v>129.375</v>
      </c>
    </row>
    <row r="28" spans="1:15" x14ac:dyDescent="0.3">
      <c r="A28" s="1" t="s">
        <v>68</v>
      </c>
      <c r="B28" s="1"/>
      <c r="C28" s="1"/>
      <c r="D28" s="1"/>
      <c r="E28" s="2"/>
      <c r="F28" s="1" t="s">
        <v>69</v>
      </c>
      <c r="G28" s="1"/>
      <c r="H28" s="1"/>
      <c r="I28" s="1"/>
      <c r="J28" s="2"/>
      <c r="K28" s="1" t="s">
        <v>70</v>
      </c>
      <c r="L28" t="s">
        <v>53</v>
      </c>
      <c r="M28" s="1">
        <f>(0.03*3.75*2.5)*460</f>
        <v>129.375</v>
      </c>
      <c r="N28" s="1">
        <f>M28</f>
        <v>129.375</v>
      </c>
      <c r="O28" s="2">
        <f>M28</f>
        <v>129.375</v>
      </c>
    </row>
    <row r="29" spans="1:15" x14ac:dyDescent="0.3">
      <c r="E29" s="3"/>
      <c r="J29" s="3"/>
      <c r="O29" s="3"/>
    </row>
    <row r="30" spans="1:15" x14ac:dyDescent="0.3">
      <c r="A30" s="1" t="s">
        <v>71</v>
      </c>
      <c r="B30" s="1"/>
      <c r="C30" s="1"/>
      <c r="D30" s="1"/>
      <c r="E30" s="2"/>
      <c r="F30" s="1" t="s">
        <v>72</v>
      </c>
      <c r="G30" s="1"/>
      <c r="H30" s="1"/>
      <c r="I30" s="1"/>
      <c r="J30" s="2"/>
      <c r="K30" s="1" t="s">
        <v>73</v>
      </c>
      <c r="L30" s="1" t="s">
        <v>53</v>
      </c>
      <c r="M30" s="1">
        <f>(0.03*3.75*2.5)*460</f>
        <v>129.375</v>
      </c>
      <c r="N30" s="1">
        <f>M30</f>
        <v>129.375</v>
      </c>
      <c r="O30" s="2">
        <f>M30</f>
        <v>129.375</v>
      </c>
    </row>
    <row r="31" spans="1:15" x14ac:dyDescent="0.3">
      <c r="E31" s="3"/>
      <c r="J31" s="3"/>
      <c r="O31" s="3"/>
    </row>
    <row r="32" spans="1:15" x14ac:dyDescent="0.3">
      <c r="A32" s="1" t="s">
        <v>74</v>
      </c>
      <c r="B32" s="1" t="s">
        <v>49</v>
      </c>
      <c r="C32" s="1">
        <f>(((1.42^2)*PI()/4)*0.05)*C54</f>
        <v>-197.95960708432685</v>
      </c>
      <c r="D32" s="1">
        <f>C32</f>
        <v>-197.95960708432685</v>
      </c>
      <c r="E32" s="2">
        <f>C32</f>
        <v>-197.95960708432685</v>
      </c>
      <c r="F32" s="1" t="s">
        <v>75</v>
      </c>
      <c r="G32" s="1"/>
      <c r="H32" s="1"/>
      <c r="I32" s="1"/>
      <c r="J32" s="2"/>
      <c r="K32" s="1" t="s">
        <v>76</v>
      </c>
      <c r="L32" s="1" t="s">
        <v>53</v>
      </c>
      <c r="M32" s="1">
        <f>(0.03*3.75*2.5)*460</f>
        <v>129.375</v>
      </c>
      <c r="N32" s="1">
        <f>M32</f>
        <v>129.375</v>
      </c>
      <c r="O32" s="2">
        <f>M32</f>
        <v>129.375</v>
      </c>
    </row>
    <row r="33" spans="1:15" x14ac:dyDescent="0.3">
      <c r="E33" s="3"/>
      <c r="J33" s="3"/>
      <c r="O33" s="3"/>
    </row>
    <row r="34" spans="1:15" x14ac:dyDescent="0.3">
      <c r="A34" s="1" t="s">
        <v>77</v>
      </c>
      <c r="B34" s="1" t="s">
        <v>78</v>
      </c>
      <c r="C34" s="1">
        <v>1300</v>
      </c>
      <c r="D34" s="1">
        <f>C34</f>
        <v>1300</v>
      </c>
      <c r="E34" s="2">
        <f>C34</f>
        <v>1300</v>
      </c>
      <c r="F34" s="1" t="s">
        <v>79</v>
      </c>
      <c r="G34" s="1"/>
      <c r="H34" s="1"/>
      <c r="I34" s="1"/>
      <c r="J34" s="2"/>
      <c r="K34" s="1"/>
      <c r="L34" s="1"/>
      <c r="M34" s="1"/>
      <c r="N34" s="1"/>
      <c r="O34" s="2"/>
    </row>
    <row r="35" spans="1:15" x14ac:dyDescent="0.3">
      <c r="E35" s="3"/>
      <c r="J35" s="3"/>
      <c r="O35" s="3"/>
    </row>
    <row r="36" spans="1:15" x14ac:dyDescent="0.3">
      <c r="A36" s="1" t="s">
        <v>80</v>
      </c>
      <c r="B36" s="1"/>
      <c r="C36" s="1"/>
      <c r="D36" s="1"/>
      <c r="E36" s="2"/>
      <c r="F36" s="1" t="s">
        <v>81</v>
      </c>
      <c r="G36" s="1"/>
      <c r="H36" s="1"/>
      <c r="I36" s="1"/>
      <c r="J36" s="2"/>
      <c r="K36" s="1"/>
      <c r="L36" s="1"/>
      <c r="M36" s="1"/>
      <c r="N36" s="1"/>
      <c r="O36" s="2"/>
    </row>
    <row r="37" spans="1:15" x14ac:dyDescent="0.3">
      <c r="E37" s="3"/>
      <c r="J37" s="3"/>
      <c r="O37" s="3"/>
    </row>
    <row r="38" spans="1:15" x14ac:dyDescent="0.3">
      <c r="A38" s="1" t="s">
        <v>82</v>
      </c>
      <c r="B38" s="1"/>
      <c r="C38" s="1"/>
      <c r="D38" s="1"/>
      <c r="E38" s="2"/>
      <c r="F38" s="1" t="s">
        <v>83</v>
      </c>
      <c r="G38" s="1"/>
      <c r="H38" s="1"/>
      <c r="I38" s="1"/>
      <c r="J38" s="2"/>
      <c r="K38" s="1"/>
      <c r="L38" s="1"/>
      <c r="M38" s="1"/>
      <c r="N38" s="1"/>
      <c r="O38" s="2"/>
    </row>
    <row r="39" spans="1:15" x14ac:dyDescent="0.3">
      <c r="E39" s="3"/>
      <c r="J39" s="3"/>
      <c r="O39" s="3"/>
    </row>
    <row r="40" spans="1:15" x14ac:dyDescent="0.3">
      <c r="A40" s="1" t="s">
        <v>84</v>
      </c>
      <c r="B40" s="1"/>
      <c r="C40" s="1"/>
      <c r="D40" s="1"/>
      <c r="E40" s="2"/>
      <c r="F40" s="1" t="s">
        <v>85</v>
      </c>
      <c r="G40" s="1" t="s">
        <v>226</v>
      </c>
      <c r="H40" s="1">
        <f>600*31</f>
        <v>18600</v>
      </c>
      <c r="I40" s="1">
        <f>H40</f>
        <v>18600</v>
      </c>
      <c r="J40" s="1">
        <f>I40</f>
        <v>18600</v>
      </c>
      <c r="K40" s="1"/>
      <c r="L40" s="1"/>
      <c r="M40" s="1"/>
      <c r="N40" s="1"/>
      <c r="O40" s="2"/>
    </row>
    <row r="41" spans="1:15" x14ac:dyDescent="0.3">
      <c r="E41" s="3"/>
      <c r="J41" s="3"/>
      <c r="O41" s="3"/>
    </row>
    <row r="42" spans="1:15" x14ac:dyDescent="0.3">
      <c r="A42" s="1" t="s">
        <v>86</v>
      </c>
      <c r="B42" s="1"/>
      <c r="C42" s="1"/>
      <c r="D42" s="1"/>
      <c r="E42" s="2"/>
      <c r="F42" s="1" t="s">
        <v>87</v>
      </c>
      <c r="G42" s="1"/>
      <c r="H42" s="1"/>
      <c r="I42" s="1"/>
      <c r="J42" s="2"/>
      <c r="K42" s="1"/>
      <c r="L42" s="1"/>
      <c r="M42" s="1"/>
      <c r="N42" s="1"/>
      <c r="O42" s="2"/>
    </row>
    <row r="43" spans="1:15" x14ac:dyDescent="0.3">
      <c r="E43" s="3"/>
      <c r="J43" s="3"/>
      <c r="O43" s="3"/>
    </row>
    <row r="44" spans="1:15" x14ac:dyDescent="0.3">
      <c r="A44" s="1" t="s">
        <v>88</v>
      </c>
      <c r="B44" s="1"/>
      <c r="C44" s="1"/>
      <c r="D44" s="1"/>
      <c r="E44" s="2"/>
      <c r="F44" s="1" t="s">
        <v>89</v>
      </c>
      <c r="G44" s="1"/>
      <c r="H44" s="1"/>
      <c r="I44" s="1"/>
      <c r="J44" s="2"/>
      <c r="K44" s="1"/>
      <c r="L44" s="1"/>
      <c r="M44" s="1"/>
      <c r="N44" s="1"/>
      <c r="O44" s="2"/>
    </row>
    <row r="45" spans="1:15" x14ac:dyDescent="0.3">
      <c r="E45" s="3"/>
      <c r="J45" s="3"/>
      <c r="O45" s="3"/>
    </row>
    <row r="46" spans="1:15" x14ac:dyDescent="0.3">
      <c r="A46" s="1" t="s">
        <v>90</v>
      </c>
      <c r="B46" s="1"/>
      <c r="C46" s="1"/>
      <c r="D46" s="1"/>
      <c r="E46" s="2"/>
      <c r="F46" s="1" t="s">
        <v>91</v>
      </c>
      <c r="G46" s="1"/>
      <c r="H46" s="1"/>
      <c r="I46" s="1"/>
      <c r="J46" s="2"/>
      <c r="K46" s="1"/>
      <c r="L46" s="1"/>
      <c r="M46" s="1"/>
      <c r="N46" s="1"/>
      <c r="O46" s="2"/>
    </row>
    <row r="47" spans="1:15" x14ac:dyDescent="0.3">
      <c r="E47" s="3"/>
      <c r="J47" s="3"/>
      <c r="O47" s="3"/>
    </row>
    <row r="48" spans="1:15" x14ac:dyDescent="0.3">
      <c r="A48" s="1" t="s">
        <v>92</v>
      </c>
      <c r="B48" s="1"/>
      <c r="C48" s="1"/>
      <c r="D48" s="1"/>
      <c r="E48" s="2"/>
      <c r="F48" s="1" t="s">
        <v>93</v>
      </c>
      <c r="G48" s="1"/>
      <c r="H48" s="1"/>
      <c r="I48" s="1"/>
      <c r="J48" s="2"/>
      <c r="K48" s="1"/>
      <c r="L48" s="1"/>
      <c r="M48" s="1"/>
      <c r="N48" s="1"/>
      <c r="O48" s="2"/>
    </row>
    <row r="49" spans="1:15" x14ac:dyDescent="0.3">
      <c r="A49" s="4"/>
      <c r="B49" s="4"/>
      <c r="C49" s="4"/>
      <c r="D49" s="4"/>
      <c r="E49" s="5"/>
      <c r="F49" s="4"/>
      <c r="G49" s="4"/>
      <c r="H49" s="4"/>
      <c r="I49" s="4"/>
      <c r="J49" s="5"/>
      <c r="K49" s="4"/>
      <c r="L49" s="4"/>
      <c r="M49" s="4"/>
      <c r="N49" s="4"/>
      <c r="O49" s="5"/>
    </row>
    <row r="51" spans="1:15" x14ac:dyDescent="0.3">
      <c r="B51" t="s">
        <v>94</v>
      </c>
      <c r="G51" t="s">
        <v>95</v>
      </c>
    </row>
    <row r="52" spans="1:15" x14ac:dyDescent="0.3">
      <c r="B52" t="s">
        <v>96</v>
      </c>
      <c r="F52" s="13" t="s">
        <v>97</v>
      </c>
      <c r="G52" t="s">
        <v>98</v>
      </c>
    </row>
    <row r="53" spans="1:15" x14ac:dyDescent="0.3">
      <c r="F53" s="13" t="s">
        <v>99</v>
      </c>
      <c r="G53" t="s">
        <v>100</v>
      </c>
    </row>
    <row r="54" spans="1:15" x14ac:dyDescent="0.3">
      <c r="B54" t="s">
        <v>101</v>
      </c>
      <c r="C54">
        <v>-2500</v>
      </c>
      <c r="F54" s="13" t="s">
        <v>102</v>
      </c>
      <c r="G54" t="s">
        <v>103</v>
      </c>
    </row>
    <row r="55" spans="1:15" x14ac:dyDescent="0.3">
      <c r="F55" s="13" t="s">
        <v>104</v>
      </c>
      <c r="G55" t="s">
        <v>100</v>
      </c>
    </row>
    <row r="56" spans="1:15" x14ac:dyDescent="0.3">
      <c r="F56" s="13" t="s">
        <v>105</v>
      </c>
      <c r="G56" t="s">
        <v>106</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6697-13B9-4E3E-B1DF-4D844660A877}">
  <dimension ref="A1:O53"/>
  <sheetViews>
    <sheetView workbookViewId="0">
      <selection activeCell="C2" sqref="C2:E16"/>
    </sheetView>
  </sheetViews>
  <sheetFormatPr defaultRowHeight="14.4" x14ac:dyDescent="0.3"/>
  <cols>
    <col min="1" max="1" width="3.33203125" bestFit="1" customWidth="1"/>
    <col min="2" max="2" width="33.33203125" customWidth="1"/>
    <col min="6" max="6" width="3.33203125" bestFit="1" customWidth="1"/>
    <col min="7" max="7" width="33.33203125" customWidth="1"/>
    <col min="11" max="11" width="3.33203125" bestFit="1" customWidth="1"/>
    <col min="12" max="12" width="33.33203125" customWidth="1"/>
  </cols>
  <sheetData>
    <row r="1" spans="1:15" x14ac:dyDescent="0.3">
      <c r="A1" t="s">
        <v>107</v>
      </c>
      <c r="C1" t="s">
        <v>14</v>
      </c>
      <c r="D1" t="s">
        <v>15</v>
      </c>
      <c r="E1" t="s">
        <v>16</v>
      </c>
      <c r="H1" t="s">
        <v>14</v>
      </c>
      <c r="I1" t="s">
        <v>15</v>
      </c>
      <c r="J1" t="s">
        <v>16</v>
      </c>
      <c r="M1" t="s">
        <v>14</v>
      </c>
      <c r="N1" t="s">
        <v>15</v>
      </c>
      <c r="O1" t="s">
        <v>16</v>
      </c>
    </row>
    <row r="2" spans="1:15" x14ac:dyDescent="0.3">
      <c r="A2" s="1" t="s">
        <v>17</v>
      </c>
      <c r="B2" s="1"/>
      <c r="C2" s="1"/>
      <c r="D2" s="1"/>
      <c r="E2" s="2"/>
      <c r="F2" s="1" t="s">
        <v>19</v>
      </c>
      <c r="G2" s="1"/>
      <c r="H2" s="1"/>
      <c r="I2" s="1"/>
      <c r="J2" s="2"/>
      <c r="K2" s="1" t="s">
        <v>20</v>
      </c>
      <c r="L2" s="12" t="s">
        <v>108</v>
      </c>
      <c r="M2" s="1">
        <f>100+30</f>
        <v>130</v>
      </c>
      <c r="N2" s="1">
        <f>150+50</f>
        <v>200</v>
      </c>
      <c r="O2" s="2">
        <f>70+10</f>
        <v>80</v>
      </c>
    </row>
    <row r="3" spans="1:15" x14ac:dyDescent="0.3">
      <c r="E3" s="3"/>
      <c r="J3" s="3"/>
      <c r="O3" s="3"/>
    </row>
    <row r="4" spans="1:15" x14ac:dyDescent="0.3">
      <c r="A4" s="1" t="s">
        <v>22</v>
      </c>
      <c r="B4" s="1"/>
      <c r="C4" s="1"/>
      <c r="D4" s="1"/>
      <c r="E4" s="2"/>
      <c r="F4" s="1" t="s">
        <v>24</v>
      </c>
      <c r="G4" s="1"/>
      <c r="H4" s="1"/>
      <c r="I4" s="1"/>
      <c r="J4" s="2"/>
      <c r="K4" s="1" t="s">
        <v>25</v>
      </c>
      <c r="L4" s="12" t="s">
        <v>109</v>
      </c>
      <c r="M4" s="1">
        <v>400</v>
      </c>
      <c r="N4" s="1">
        <f>4*150</f>
        <v>600</v>
      </c>
      <c r="O4" s="2">
        <f>0*150</f>
        <v>0</v>
      </c>
    </row>
    <row r="5" spans="1:15" x14ac:dyDescent="0.3">
      <c r="E5" s="3"/>
      <c r="J5" s="3"/>
      <c r="O5" s="3"/>
    </row>
    <row r="6" spans="1:15" x14ac:dyDescent="0.3">
      <c r="A6" s="1" t="s">
        <v>27</v>
      </c>
      <c r="B6" s="1"/>
      <c r="C6" s="1"/>
      <c r="D6" s="1"/>
      <c r="E6" s="2"/>
      <c r="F6" s="1" t="s">
        <v>28</v>
      </c>
      <c r="G6" s="12" t="s">
        <v>110</v>
      </c>
      <c r="H6" s="1">
        <v>45</v>
      </c>
      <c r="I6" s="1">
        <v>50</v>
      </c>
      <c r="J6" s="2">
        <v>20</v>
      </c>
      <c r="K6" s="1" t="s">
        <v>29</v>
      </c>
      <c r="L6" s="12" t="s">
        <v>111</v>
      </c>
      <c r="M6" s="1">
        <f>500</f>
        <v>500</v>
      </c>
      <c r="N6" s="1">
        <v>800</v>
      </c>
      <c r="O6" s="2">
        <v>0</v>
      </c>
    </row>
    <row r="7" spans="1:15" x14ac:dyDescent="0.3">
      <c r="E7" s="3"/>
      <c r="G7" t="s">
        <v>112</v>
      </c>
      <c r="H7">
        <v>65</v>
      </c>
      <c r="I7">
        <f>H7</f>
        <v>65</v>
      </c>
      <c r="J7" s="3">
        <f>H7</f>
        <v>65</v>
      </c>
      <c r="L7" t="s">
        <v>26</v>
      </c>
      <c r="M7">
        <v>700</v>
      </c>
      <c r="O7" s="3"/>
    </row>
    <row r="8" spans="1:15" x14ac:dyDescent="0.3">
      <c r="A8" s="1" t="s">
        <v>32</v>
      </c>
      <c r="B8" s="1"/>
      <c r="C8" s="1"/>
      <c r="D8" s="1"/>
      <c r="E8" s="2"/>
      <c r="F8" s="1" t="s">
        <v>33</v>
      </c>
      <c r="G8" s="1" t="s">
        <v>113</v>
      </c>
      <c r="H8" s="1">
        <f>8*30</f>
        <v>240</v>
      </c>
      <c r="I8" s="1">
        <f>H8</f>
        <v>240</v>
      </c>
      <c r="J8" s="2">
        <f>H8</f>
        <v>240</v>
      </c>
      <c r="K8" s="1" t="s">
        <v>34</v>
      </c>
      <c r="L8" s="1" t="s">
        <v>26</v>
      </c>
      <c r="M8" s="1">
        <v>700</v>
      </c>
      <c r="N8" s="1"/>
      <c r="O8" s="2"/>
    </row>
    <row r="9" spans="1:15" x14ac:dyDescent="0.3">
      <c r="E9" s="3"/>
      <c r="G9" t="s">
        <v>114</v>
      </c>
      <c r="H9">
        <f>C41</f>
        <v>3515.625</v>
      </c>
      <c r="I9">
        <f t="shared" ref="I9:J9" si="0">D41</f>
        <v>3515.625</v>
      </c>
      <c r="J9">
        <f t="shared" si="0"/>
        <v>3515.625</v>
      </c>
      <c r="L9" s="11" t="s">
        <v>115</v>
      </c>
      <c r="M9" s="4">
        <f>200+300</f>
        <v>500</v>
      </c>
      <c r="N9" s="4">
        <f>200+600</f>
        <v>800</v>
      </c>
      <c r="O9" s="5">
        <f>200</f>
        <v>200</v>
      </c>
    </row>
    <row r="10" spans="1:15" x14ac:dyDescent="0.3">
      <c r="A10" s="1" t="s">
        <v>36</v>
      </c>
      <c r="B10" s="1"/>
      <c r="C10" s="1"/>
      <c r="D10" s="1"/>
      <c r="E10" s="2"/>
      <c r="F10" s="1" t="s">
        <v>37</v>
      </c>
      <c r="G10" s="1" t="s">
        <v>116</v>
      </c>
      <c r="H10" s="1">
        <v>200</v>
      </c>
      <c r="I10" s="1">
        <f>H10</f>
        <v>200</v>
      </c>
      <c r="J10" s="2">
        <f>H10</f>
        <v>200</v>
      </c>
      <c r="K10" s="1" t="s">
        <v>38</v>
      </c>
      <c r="L10" s="12" t="s">
        <v>115</v>
      </c>
      <c r="M10">
        <f>200+300</f>
        <v>500</v>
      </c>
      <c r="N10">
        <f>200+600</f>
        <v>800</v>
      </c>
      <c r="O10" s="2">
        <f>200</f>
        <v>200</v>
      </c>
    </row>
    <row r="11" spans="1:15" x14ac:dyDescent="0.3">
      <c r="E11" s="3"/>
      <c r="G11" t="s">
        <v>114</v>
      </c>
      <c r="H11">
        <f>C41</f>
        <v>3515.625</v>
      </c>
      <c r="I11">
        <f t="shared" ref="I11:J11" si="1">D41</f>
        <v>3515.625</v>
      </c>
      <c r="J11" s="5">
        <f t="shared" si="1"/>
        <v>3515.625</v>
      </c>
      <c r="L11" s="11" t="s">
        <v>117</v>
      </c>
      <c r="M11">
        <f>2500+700</f>
        <v>3200</v>
      </c>
      <c r="N11">
        <f>4500</f>
        <v>4500</v>
      </c>
      <c r="O11" s="3">
        <f>1000</f>
        <v>1000</v>
      </c>
    </row>
    <row r="12" spans="1:15" x14ac:dyDescent="0.3">
      <c r="A12" s="1" t="s">
        <v>39</v>
      </c>
      <c r="B12" s="1"/>
      <c r="C12" s="1"/>
      <c r="D12" s="1"/>
      <c r="E12" s="2"/>
      <c r="F12" s="1" t="s">
        <v>40</v>
      </c>
      <c r="G12" s="1" t="s">
        <v>118</v>
      </c>
      <c r="H12" s="1">
        <v>250</v>
      </c>
      <c r="I12" s="1">
        <f>H12</f>
        <v>250</v>
      </c>
      <c r="J12" s="2">
        <f>H12</f>
        <v>250</v>
      </c>
      <c r="K12" s="1" t="s">
        <v>41</v>
      </c>
      <c r="L12" s="1" t="s">
        <v>119</v>
      </c>
      <c r="M12" s="1">
        <v>75</v>
      </c>
      <c r="N12" s="1">
        <v>75</v>
      </c>
      <c r="O12" s="2">
        <v>75</v>
      </c>
    </row>
    <row r="13" spans="1:15" x14ac:dyDescent="0.3">
      <c r="E13" s="3"/>
      <c r="J13" s="3"/>
      <c r="L13" t="s">
        <v>26</v>
      </c>
      <c r="M13">
        <v>700</v>
      </c>
      <c r="O13" s="3"/>
    </row>
    <row r="14" spans="1:15" x14ac:dyDescent="0.3">
      <c r="A14" s="1" t="s">
        <v>42</v>
      </c>
      <c r="B14" s="1"/>
      <c r="C14" s="1"/>
      <c r="D14" s="1"/>
      <c r="E14" s="2"/>
      <c r="F14" s="1" t="s">
        <v>43</v>
      </c>
      <c r="G14" s="1"/>
      <c r="H14" s="1"/>
      <c r="I14" s="1"/>
      <c r="J14" s="2"/>
      <c r="K14" s="1" t="s">
        <v>44</v>
      </c>
      <c r="L14" s="12" t="s">
        <v>120</v>
      </c>
      <c r="M14" s="1">
        <v>250</v>
      </c>
      <c r="N14" s="1">
        <v>350</v>
      </c>
      <c r="O14" s="2">
        <v>100</v>
      </c>
    </row>
    <row r="15" spans="1:15" x14ac:dyDescent="0.3">
      <c r="E15" s="3"/>
      <c r="J15" s="3"/>
      <c r="L15" s="11" t="s">
        <v>121</v>
      </c>
      <c r="M15">
        <f>300+300</f>
        <v>600</v>
      </c>
      <c r="N15">
        <f>400+300</f>
        <v>700</v>
      </c>
      <c r="O15" s="3">
        <f>0+300</f>
        <v>300</v>
      </c>
    </row>
    <row r="16" spans="1:15" x14ac:dyDescent="0.3">
      <c r="A16" s="1" t="s">
        <v>46</v>
      </c>
      <c r="B16" s="1"/>
      <c r="C16" s="1"/>
      <c r="D16" s="1"/>
      <c r="E16" s="2"/>
      <c r="F16" s="1" t="s">
        <v>47</v>
      </c>
      <c r="G16" s="1"/>
      <c r="H16" s="1"/>
      <c r="I16" s="1"/>
      <c r="J16" s="2"/>
      <c r="K16" s="1" t="s">
        <v>48</v>
      </c>
      <c r="L16" s="1"/>
      <c r="M16" s="1"/>
      <c r="N16" s="1"/>
      <c r="O16" s="2"/>
    </row>
    <row r="17" spans="1:15" x14ac:dyDescent="0.3">
      <c r="E17" s="3"/>
      <c r="J17" s="3"/>
      <c r="O17" s="3"/>
    </row>
    <row r="18" spans="1:15" x14ac:dyDescent="0.3">
      <c r="A18" s="1" t="s">
        <v>50</v>
      </c>
      <c r="B18" s="1"/>
      <c r="C18" s="1"/>
      <c r="D18" s="1"/>
      <c r="E18" s="2"/>
      <c r="F18" s="1" t="s">
        <v>51</v>
      </c>
      <c r="G18" s="1"/>
      <c r="H18" s="1"/>
      <c r="I18" s="1"/>
      <c r="J18" s="2"/>
      <c r="K18" s="1" t="s">
        <v>52</v>
      </c>
      <c r="L18" s="1"/>
      <c r="M18" s="1"/>
      <c r="N18" s="1"/>
      <c r="O18" s="2"/>
    </row>
    <row r="19" spans="1:15" x14ac:dyDescent="0.3">
      <c r="E19" s="3"/>
      <c r="J19" s="3"/>
      <c r="O19" s="5"/>
    </row>
    <row r="20" spans="1:15" x14ac:dyDescent="0.3">
      <c r="A20" s="1" t="s">
        <v>54</v>
      </c>
      <c r="B20" s="1" t="s">
        <v>122</v>
      </c>
      <c r="C20" s="1">
        <v>200</v>
      </c>
      <c r="D20" s="1">
        <v>300</v>
      </c>
      <c r="E20" s="2">
        <v>50</v>
      </c>
      <c r="F20" s="1" t="s">
        <v>55</v>
      </c>
      <c r="G20" s="12" t="s">
        <v>123</v>
      </c>
      <c r="H20" s="1">
        <v>200</v>
      </c>
      <c r="I20" s="1">
        <v>300</v>
      </c>
      <c r="J20" s="2">
        <v>100</v>
      </c>
      <c r="K20" s="1" t="s">
        <v>56</v>
      </c>
      <c r="L20" s="1"/>
      <c r="M20" s="1"/>
      <c r="N20" s="1"/>
      <c r="O20" s="2"/>
    </row>
    <row r="21" spans="1:15" x14ac:dyDescent="0.3">
      <c r="E21" s="3"/>
      <c r="G21" t="s">
        <v>124</v>
      </c>
      <c r="H21">
        <v>60</v>
      </c>
      <c r="I21">
        <f>H21</f>
        <v>60</v>
      </c>
      <c r="J21" s="3">
        <f>H21</f>
        <v>60</v>
      </c>
      <c r="O21" s="3"/>
    </row>
    <row r="22" spans="1:15" x14ac:dyDescent="0.3">
      <c r="A22" s="1" t="s">
        <v>57</v>
      </c>
      <c r="B22" s="1" t="s">
        <v>125</v>
      </c>
      <c r="C22" s="1">
        <f>2.8*1.1*0.2*C53</f>
        <v>-1540.0000000000002</v>
      </c>
      <c r="D22" s="1">
        <f>C22</f>
        <v>-1540.0000000000002</v>
      </c>
      <c r="E22" s="2">
        <f>C22</f>
        <v>-1540.0000000000002</v>
      </c>
      <c r="F22" s="1" t="s">
        <v>58</v>
      </c>
      <c r="G22" s="12" t="s">
        <v>126</v>
      </c>
      <c r="H22" s="1">
        <v>2000</v>
      </c>
      <c r="I22" s="1">
        <v>3200</v>
      </c>
      <c r="J22" s="2">
        <v>500</v>
      </c>
      <c r="K22" s="1" t="s">
        <v>59</v>
      </c>
      <c r="L22" s="1"/>
      <c r="M22" s="1"/>
      <c r="N22" s="1"/>
      <c r="O22" s="2"/>
    </row>
    <row r="23" spans="1:15" x14ac:dyDescent="0.3">
      <c r="E23" s="3"/>
      <c r="J23" s="3"/>
      <c r="O23" s="3"/>
    </row>
    <row r="24" spans="1:15" x14ac:dyDescent="0.3">
      <c r="A24" s="1" t="s">
        <v>60</v>
      </c>
      <c r="B24" s="1" t="s">
        <v>125</v>
      </c>
      <c r="C24" s="1">
        <f>2.8*1.1*0.2*C53</f>
        <v>-1540.0000000000002</v>
      </c>
      <c r="D24" s="1">
        <f>C24</f>
        <v>-1540.0000000000002</v>
      </c>
      <c r="E24" s="2">
        <f>C24</f>
        <v>-1540.0000000000002</v>
      </c>
      <c r="F24" s="1" t="s">
        <v>61</v>
      </c>
      <c r="G24" s="1" t="s">
        <v>113</v>
      </c>
      <c r="H24" s="1">
        <f>12*30</f>
        <v>360</v>
      </c>
      <c r="I24" s="1">
        <f>H24</f>
        <v>360</v>
      </c>
      <c r="J24" s="2">
        <f>H24</f>
        <v>360</v>
      </c>
      <c r="K24" s="1" t="s">
        <v>62</v>
      </c>
      <c r="L24" s="1"/>
      <c r="M24" s="1"/>
      <c r="N24" s="1"/>
      <c r="O24" s="2"/>
    </row>
    <row r="25" spans="1:15" x14ac:dyDescent="0.3">
      <c r="E25" s="3"/>
      <c r="G25" t="s">
        <v>114</v>
      </c>
      <c r="H25">
        <f>C41</f>
        <v>3515.625</v>
      </c>
      <c r="I25">
        <f t="shared" ref="I25:J25" si="2">D41</f>
        <v>3515.625</v>
      </c>
      <c r="J25" s="5">
        <f t="shared" si="2"/>
        <v>3515.625</v>
      </c>
      <c r="O25" s="3"/>
    </row>
    <row r="26" spans="1:15" x14ac:dyDescent="0.3">
      <c r="A26" s="1" t="s">
        <v>64</v>
      </c>
      <c r="B26" s="1" t="s">
        <v>127</v>
      </c>
      <c r="C26" s="1">
        <v>200</v>
      </c>
      <c r="D26" s="1">
        <f>C26</f>
        <v>200</v>
      </c>
      <c r="E26" s="2">
        <f>C26</f>
        <v>200</v>
      </c>
      <c r="F26" s="1" t="s">
        <v>65</v>
      </c>
      <c r="G26" s="1" t="s">
        <v>116</v>
      </c>
      <c r="H26" s="1">
        <v>300</v>
      </c>
      <c r="I26" s="1">
        <f>H26</f>
        <v>300</v>
      </c>
      <c r="J26" s="2">
        <f>H26</f>
        <v>300</v>
      </c>
      <c r="K26" s="1" t="s">
        <v>66</v>
      </c>
      <c r="L26" s="1" t="s">
        <v>128</v>
      </c>
      <c r="M26" s="1">
        <v>75</v>
      </c>
      <c r="N26" s="1">
        <f>M26</f>
        <v>75</v>
      </c>
      <c r="O26" s="2">
        <f>M26</f>
        <v>75</v>
      </c>
    </row>
    <row r="27" spans="1:15" x14ac:dyDescent="0.3">
      <c r="E27" s="3"/>
      <c r="G27" t="s">
        <v>114</v>
      </c>
      <c r="H27">
        <f>C41</f>
        <v>3515.625</v>
      </c>
      <c r="I27">
        <f t="shared" ref="I27:J27" si="3">D41</f>
        <v>3515.625</v>
      </c>
      <c r="J27" s="5">
        <f t="shared" si="3"/>
        <v>3515.625</v>
      </c>
      <c r="O27" s="3"/>
    </row>
    <row r="28" spans="1:15" x14ac:dyDescent="0.3">
      <c r="A28" s="1" t="s">
        <v>68</v>
      </c>
      <c r="B28" s="1" t="s">
        <v>129</v>
      </c>
      <c r="C28" s="1">
        <f>2.5*3*0.2*C53</f>
        <v>-3750</v>
      </c>
      <c r="D28" s="1">
        <f>C28</f>
        <v>-3750</v>
      </c>
      <c r="E28" s="2">
        <f>C28</f>
        <v>-3750</v>
      </c>
      <c r="F28" s="1" t="s">
        <v>69</v>
      </c>
      <c r="G28" s="1" t="s">
        <v>130</v>
      </c>
      <c r="H28" s="1">
        <f>150+(0.7*((0.7^2)*PI()/4)*1.2*1000)</f>
        <v>473.26988405438965</v>
      </c>
      <c r="I28" s="1">
        <f>150+(((0.7^2)*PI()/4)*1.2*1000)</f>
        <v>611.8141200776995</v>
      </c>
      <c r="J28" s="2">
        <f>150+(0.3*((0.7^2)*PI()/4)*1.2*1000)</f>
        <v>288.54423602330985</v>
      </c>
      <c r="K28" s="1" t="s">
        <v>70</v>
      </c>
      <c r="L28" s="1" t="s">
        <v>131</v>
      </c>
      <c r="M28" s="1">
        <v>30</v>
      </c>
      <c r="N28" s="1">
        <f>M28</f>
        <v>30</v>
      </c>
      <c r="O28" s="2">
        <f>M28</f>
        <v>30</v>
      </c>
    </row>
    <row r="29" spans="1:15" x14ac:dyDescent="0.3">
      <c r="E29" s="3"/>
      <c r="G29" t="s">
        <v>132</v>
      </c>
      <c r="H29">
        <f>20*22</f>
        <v>440</v>
      </c>
      <c r="I29">
        <f>H29</f>
        <v>440</v>
      </c>
      <c r="J29" s="3">
        <f>H29</f>
        <v>440</v>
      </c>
      <c r="L29" s="11"/>
      <c r="O29" s="3"/>
    </row>
    <row r="30" spans="1:15" x14ac:dyDescent="0.3">
      <c r="A30" s="1" t="s">
        <v>71</v>
      </c>
      <c r="B30" s="1" t="s">
        <v>133</v>
      </c>
      <c r="C30" s="1">
        <f>2.8*1.2*0.2*C53</f>
        <v>-1680</v>
      </c>
      <c r="D30" s="1">
        <f>C30</f>
        <v>-1680</v>
      </c>
      <c r="E30" s="2">
        <f>C30</f>
        <v>-1680</v>
      </c>
      <c r="F30" s="1" t="s">
        <v>72</v>
      </c>
      <c r="G30" s="1" t="s">
        <v>134</v>
      </c>
      <c r="H30" s="1">
        <v>800</v>
      </c>
      <c r="I30" s="1">
        <f>H30</f>
        <v>800</v>
      </c>
      <c r="J30" s="2">
        <f>H30</f>
        <v>800</v>
      </c>
      <c r="K30" s="1" t="s">
        <v>73</v>
      </c>
      <c r="L30" s="1"/>
      <c r="M30" s="1"/>
      <c r="N30" s="1"/>
      <c r="O30" s="2"/>
    </row>
    <row r="31" spans="1:15" x14ac:dyDescent="0.3">
      <c r="B31" t="s">
        <v>135</v>
      </c>
      <c r="C31">
        <f>8*18</f>
        <v>144</v>
      </c>
      <c r="D31">
        <f>C31</f>
        <v>144</v>
      </c>
      <c r="E31" s="3">
        <f>C31</f>
        <v>144</v>
      </c>
      <c r="G31" t="s">
        <v>136</v>
      </c>
      <c r="H31">
        <v>50</v>
      </c>
      <c r="I31">
        <f>H31</f>
        <v>50</v>
      </c>
      <c r="J31" s="3">
        <f>H31</f>
        <v>50</v>
      </c>
      <c r="O31" s="3"/>
    </row>
    <row r="32" spans="1:15" x14ac:dyDescent="0.3">
      <c r="A32" s="1" t="s">
        <v>74</v>
      </c>
      <c r="B32" s="1" t="s">
        <v>18</v>
      </c>
      <c r="C32" s="1">
        <v>1000</v>
      </c>
      <c r="D32" s="1">
        <f>C32</f>
        <v>1000</v>
      </c>
      <c r="E32" s="2">
        <f>C32</f>
        <v>1000</v>
      </c>
      <c r="F32" s="1" t="s">
        <v>75</v>
      </c>
      <c r="G32" s="1"/>
      <c r="H32" s="1"/>
      <c r="I32" s="1"/>
      <c r="J32" s="2"/>
      <c r="K32" s="1" t="s">
        <v>76</v>
      </c>
      <c r="L32" s="1"/>
      <c r="M32" s="1"/>
      <c r="N32" s="1"/>
      <c r="O32" s="2"/>
    </row>
    <row r="33" spans="1:15" x14ac:dyDescent="0.3">
      <c r="E33" s="3"/>
      <c r="J33" s="3"/>
      <c r="O33" s="3"/>
    </row>
    <row r="34" spans="1:15" x14ac:dyDescent="0.3">
      <c r="A34" s="1" t="s">
        <v>77</v>
      </c>
      <c r="B34" s="1"/>
      <c r="C34" s="1"/>
      <c r="D34" s="1"/>
      <c r="E34" s="2"/>
      <c r="F34" s="1" t="s">
        <v>79</v>
      </c>
      <c r="G34" s="1" t="s">
        <v>78</v>
      </c>
      <c r="H34" s="1">
        <v>1000</v>
      </c>
      <c r="I34" s="1">
        <f>H34</f>
        <v>1000</v>
      </c>
      <c r="J34" s="2">
        <f>H34</f>
        <v>1000</v>
      </c>
      <c r="K34" s="1"/>
      <c r="L34" s="1"/>
      <c r="M34" s="1"/>
      <c r="N34" s="1"/>
      <c r="O34" s="2"/>
    </row>
    <row r="35" spans="1:15" x14ac:dyDescent="0.3">
      <c r="E35" s="3"/>
      <c r="J35" s="3"/>
      <c r="O35" s="3"/>
    </row>
    <row r="36" spans="1:15" x14ac:dyDescent="0.3">
      <c r="A36" s="1" t="s">
        <v>80</v>
      </c>
      <c r="B36" s="1" t="s">
        <v>137</v>
      </c>
      <c r="C36" s="1">
        <v>150</v>
      </c>
      <c r="D36" s="1">
        <f>C36</f>
        <v>150</v>
      </c>
      <c r="E36" s="2">
        <f>C36</f>
        <v>150</v>
      </c>
      <c r="F36" s="1" t="s">
        <v>81</v>
      </c>
      <c r="G36" s="12" t="s">
        <v>138</v>
      </c>
      <c r="H36" s="1">
        <v>2100</v>
      </c>
      <c r="I36" s="1">
        <v>2100</v>
      </c>
      <c r="J36" s="2">
        <v>0</v>
      </c>
      <c r="K36" s="1"/>
      <c r="L36" s="1"/>
      <c r="M36" s="1"/>
      <c r="N36" s="1"/>
      <c r="O36" s="2"/>
    </row>
    <row r="37" spans="1:15" x14ac:dyDescent="0.3">
      <c r="E37" s="3"/>
      <c r="J37" s="3"/>
      <c r="O37" s="3"/>
    </row>
    <row r="38" spans="1:15" x14ac:dyDescent="0.3">
      <c r="A38" s="1" t="s">
        <v>82</v>
      </c>
      <c r="B38" s="12" t="s">
        <v>139</v>
      </c>
      <c r="C38" s="1">
        <f>200+2200</f>
        <v>2400</v>
      </c>
      <c r="D38" s="1">
        <f>200+3600</f>
        <v>3800</v>
      </c>
      <c r="E38" s="2">
        <f>200+3500</f>
        <v>3700</v>
      </c>
      <c r="F38" s="1" t="s">
        <v>83</v>
      </c>
      <c r="G38" s="12" t="s">
        <v>140</v>
      </c>
      <c r="H38" s="1">
        <f>300+400</f>
        <v>700</v>
      </c>
      <c r="I38" s="1">
        <f>300+800</f>
        <v>1100</v>
      </c>
      <c r="J38" s="2">
        <f>300</f>
        <v>300</v>
      </c>
      <c r="K38" s="1"/>
      <c r="L38" s="1"/>
      <c r="M38" s="1"/>
      <c r="N38" s="1"/>
      <c r="O38" s="2"/>
    </row>
    <row r="39" spans="1:15" x14ac:dyDescent="0.3">
      <c r="E39" s="3"/>
      <c r="J39" s="3"/>
      <c r="O39" s="3"/>
    </row>
    <row r="40" spans="1:15" x14ac:dyDescent="0.3">
      <c r="A40" s="1" t="s">
        <v>84</v>
      </c>
      <c r="B40" s="1" t="s">
        <v>141</v>
      </c>
      <c r="C40" s="1">
        <v>100</v>
      </c>
      <c r="D40" s="1">
        <f>C40</f>
        <v>100</v>
      </c>
      <c r="E40" s="2">
        <f>C40</f>
        <v>100</v>
      </c>
      <c r="F40" s="1" t="s">
        <v>85</v>
      </c>
      <c r="G40" s="12" t="s">
        <v>140</v>
      </c>
      <c r="H40" s="1">
        <f>150</f>
        <v>150</v>
      </c>
      <c r="I40" s="1">
        <f>200</f>
        <v>200</v>
      </c>
      <c r="J40" s="2">
        <f>150</f>
        <v>150</v>
      </c>
      <c r="K40" s="1"/>
      <c r="L40" s="1"/>
      <c r="M40" s="1"/>
      <c r="N40" s="1"/>
      <c r="O40" s="2"/>
    </row>
    <row r="41" spans="1:15" x14ac:dyDescent="0.3">
      <c r="B41" t="s">
        <v>114</v>
      </c>
      <c r="C41">
        <f>3.75*3.75*0.1*C52</f>
        <v>3515.625</v>
      </c>
      <c r="D41">
        <f>C41</f>
        <v>3515.625</v>
      </c>
      <c r="E41" s="3">
        <f>C41</f>
        <v>3515.625</v>
      </c>
      <c r="J41" s="3"/>
      <c r="O41" s="3"/>
    </row>
    <row r="42" spans="1:15" x14ac:dyDescent="0.3">
      <c r="A42" s="1" t="s">
        <v>86</v>
      </c>
      <c r="B42" s="1" t="s">
        <v>116</v>
      </c>
      <c r="C42" s="1">
        <v>150</v>
      </c>
      <c r="D42" s="1">
        <f>C42</f>
        <v>150</v>
      </c>
      <c r="E42" s="2">
        <f>C42</f>
        <v>150</v>
      </c>
      <c r="F42" s="1" t="s">
        <v>87</v>
      </c>
      <c r="G42" s="1"/>
      <c r="H42" s="1"/>
      <c r="I42" s="1"/>
      <c r="J42" s="2"/>
      <c r="K42" s="1"/>
      <c r="L42" s="1"/>
      <c r="M42" s="1"/>
      <c r="N42" s="1"/>
      <c r="O42" s="2"/>
    </row>
    <row r="43" spans="1:15" x14ac:dyDescent="0.3">
      <c r="B43" t="s">
        <v>114</v>
      </c>
      <c r="C43">
        <f>C41</f>
        <v>3515.625</v>
      </c>
      <c r="D43">
        <f>D41</f>
        <v>3515.625</v>
      </c>
      <c r="E43" s="5">
        <f>E41</f>
        <v>3515.625</v>
      </c>
      <c r="J43" s="3"/>
      <c r="O43" s="3"/>
    </row>
    <row r="44" spans="1:15" x14ac:dyDescent="0.3">
      <c r="A44" s="1" t="s">
        <v>88</v>
      </c>
      <c r="B44" s="1" t="s">
        <v>142</v>
      </c>
      <c r="C44" s="1">
        <v>30</v>
      </c>
      <c r="D44" s="1">
        <f>C44</f>
        <v>30</v>
      </c>
      <c r="E44" s="2">
        <f>C44</f>
        <v>30</v>
      </c>
      <c r="F44" s="1" t="s">
        <v>89</v>
      </c>
      <c r="G44" s="12" t="s">
        <v>143</v>
      </c>
      <c r="H44" s="1">
        <f>200</f>
        <v>200</v>
      </c>
      <c r="I44" s="1">
        <v>250</v>
      </c>
      <c r="J44" s="2">
        <v>0</v>
      </c>
      <c r="K44" s="1"/>
      <c r="L44" s="1"/>
      <c r="M44" s="1"/>
      <c r="N44" s="1"/>
      <c r="O44" s="2"/>
    </row>
    <row r="45" spans="1:15" x14ac:dyDescent="0.3">
      <c r="E45" s="3"/>
      <c r="G45" s="11" t="s">
        <v>144</v>
      </c>
      <c r="H45">
        <f>150</f>
        <v>150</v>
      </c>
      <c r="I45">
        <f>200</f>
        <v>200</v>
      </c>
      <c r="J45" s="3">
        <f>0</f>
        <v>0</v>
      </c>
      <c r="O45" s="3"/>
    </row>
    <row r="46" spans="1:15" x14ac:dyDescent="0.3">
      <c r="A46" s="1" t="s">
        <v>90</v>
      </c>
      <c r="B46" s="12" t="s">
        <v>145</v>
      </c>
      <c r="C46" s="1">
        <f>8*4*25</f>
        <v>800</v>
      </c>
      <c r="D46" s="1">
        <f>13*4*25</f>
        <v>1300</v>
      </c>
      <c r="E46" s="2">
        <f>2*4*25</f>
        <v>200</v>
      </c>
      <c r="F46" s="1" t="s">
        <v>91</v>
      </c>
      <c r="G46" s="1" t="s">
        <v>146</v>
      </c>
      <c r="H46" s="1">
        <v>150</v>
      </c>
      <c r="I46" s="1">
        <f>H46</f>
        <v>150</v>
      </c>
      <c r="J46" s="2">
        <f>H46</f>
        <v>150</v>
      </c>
      <c r="K46" s="1"/>
      <c r="L46" s="1"/>
      <c r="M46" s="1"/>
      <c r="N46" s="1"/>
      <c r="O46" s="2"/>
    </row>
    <row r="47" spans="1:15" x14ac:dyDescent="0.3">
      <c r="E47" s="3"/>
      <c r="J47" s="3"/>
      <c r="O47" s="3"/>
    </row>
    <row r="48" spans="1:15" x14ac:dyDescent="0.3">
      <c r="A48" s="1" t="s">
        <v>92</v>
      </c>
      <c r="B48" s="1"/>
      <c r="C48" s="1"/>
      <c r="D48" s="1"/>
      <c r="E48" s="2"/>
      <c r="F48" s="1" t="s">
        <v>93</v>
      </c>
      <c r="G48" s="1"/>
      <c r="H48" s="1"/>
      <c r="I48" s="1"/>
      <c r="J48" s="2"/>
      <c r="K48" s="1"/>
      <c r="L48" s="1"/>
      <c r="M48" s="1"/>
      <c r="N48" s="1"/>
      <c r="O48" s="2"/>
    </row>
    <row r="49" spans="1:15" x14ac:dyDescent="0.3">
      <c r="A49" s="4"/>
      <c r="B49" s="4"/>
      <c r="C49" s="4"/>
      <c r="D49" s="4"/>
      <c r="E49" s="5"/>
      <c r="F49" s="4"/>
      <c r="G49" s="4"/>
      <c r="H49" s="4"/>
      <c r="I49" s="4"/>
      <c r="J49" s="5"/>
      <c r="K49" s="4"/>
      <c r="L49" s="4"/>
      <c r="M49" s="4"/>
      <c r="N49" s="4"/>
      <c r="O49" s="5"/>
    </row>
    <row r="51" spans="1:15" x14ac:dyDescent="0.3">
      <c r="B51" t="s">
        <v>94</v>
      </c>
    </row>
    <row r="52" spans="1:15" x14ac:dyDescent="0.3">
      <c r="B52" t="s">
        <v>147</v>
      </c>
      <c r="C52">
        <v>2500</v>
      </c>
    </row>
    <row r="53" spans="1:15" x14ac:dyDescent="0.3">
      <c r="B53" t="s">
        <v>148</v>
      </c>
      <c r="C53">
        <v>-2500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13C8-6C97-4793-B84F-AC68D80FEE31}">
  <dimension ref="A1:O52"/>
  <sheetViews>
    <sheetView topLeftCell="A28" zoomScaleNormal="100" workbookViewId="0">
      <selection activeCell="A30" sqref="A30"/>
    </sheetView>
  </sheetViews>
  <sheetFormatPr defaultRowHeight="14.4" x14ac:dyDescent="0.3"/>
  <cols>
    <col min="1" max="1" width="3.33203125" bestFit="1" customWidth="1"/>
    <col min="2" max="2" width="33.33203125" customWidth="1"/>
    <col min="6" max="6" width="3.33203125" bestFit="1" customWidth="1"/>
    <col min="7" max="7" width="33.33203125" customWidth="1"/>
    <col min="11" max="11" width="3.33203125" bestFit="1" customWidth="1"/>
    <col min="12" max="12" width="33.33203125" customWidth="1"/>
  </cols>
  <sheetData>
    <row r="1" spans="1:15" x14ac:dyDescent="0.3">
      <c r="A1" t="s">
        <v>149</v>
      </c>
      <c r="C1" t="s">
        <v>14</v>
      </c>
      <c r="D1" t="s">
        <v>15</v>
      </c>
      <c r="E1" t="s">
        <v>16</v>
      </c>
      <c r="H1" t="s">
        <v>14</v>
      </c>
      <c r="I1" t="s">
        <v>15</v>
      </c>
      <c r="J1" t="s">
        <v>16</v>
      </c>
      <c r="M1" t="s">
        <v>14</v>
      </c>
      <c r="N1" t="s">
        <v>15</v>
      </c>
      <c r="O1" t="s">
        <v>16</v>
      </c>
    </row>
    <row r="2" spans="1:15" x14ac:dyDescent="0.3">
      <c r="A2" s="1" t="s">
        <v>17</v>
      </c>
      <c r="B2" s="1" t="s">
        <v>150</v>
      </c>
      <c r="C2" s="1"/>
      <c r="D2" s="1"/>
      <c r="E2" s="2"/>
      <c r="F2" s="1" t="s">
        <v>19</v>
      </c>
      <c r="G2" s="1" t="s">
        <v>150</v>
      </c>
      <c r="H2" s="1"/>
      <c r="I2" s="1"/>
      <c r="J2" s="2"/>
      <c r="K2" s="1" t="s">
        <v>20</v>
      </c>
      <c r="L2" s="1" t="s">
        <v>150</v>
      </c>
      <c r="M2" s="1"/>
      <c r="N2" s="1"/>
      <c r="O2" s="2"/>
    </row>
    <row r="3" spans="1:15" x14ac:dyDescent="0.3">
      <c r="E3" s="3"/>
      <c r="J3" s="3"/>
      <c r="O3" s="3"/>
    </row>
    <row r="4" spans="1:15" x14ac:dyDescent="0.3">
      <c r="A4" s="1" t="s">
        <v>22</v>
      </c>
      <c r="B4" s="1" t="s">
        <v>150</v>
      </c>
      <c r="C4" s="1"/>
      <c r="D4" s="1"/>
      <c r="E4" s="2"/>
      <c r="F4" s="1" t="s">
        <v>24</v>
      </c>
      <c r="G4" s="1" t="s">
        <v>151</v>
      </c>
      <c r="H4" s="1">
        <v>100</v>
      </c>
      <c r="I4" s="1">
        <f>H4</f>
        <v>100</v>
      </c>
      <c r="J4" s="2">
        <f>H4</f>
        <v>100</v>
      </c>
      <c r="K4" s="1" t="s">
        <v>25</v>
      </c>
      <c r="L4" s="1" t="s">
        <v>151</v>
      </c>
      <c r="M4" s="1">
        <v>100</v>
      </c>
      <c r="N4" s="1">
        <f>M4</f>
        <v>100</v>
      </c>
      <c r="O4" s="2">
        <f>M4</f>
        <v>100</v>
      </c>
    </row>
    <row r="5" spans="1:15" x14ac:dyDescent="0.3">
      <c r="E5" s="3"/>
      <c r="J5" s="3"/>
      <c r="O5" s="3"/>
    </row>
    <row r="6" spans="1:15" x14ac:dyDescent="0.3">
      <c r="A6" s="1" t="s">
        <v>27</v>
      </c>
      <c r="B6" s="1" t="s">
        <v>150</v>
      </c>
      <c r="C6" s="1"/>
      <c r="D6" s="1"/>
      <c r="E6" s="2"/>
      <c r="F6" s="1" t="s">
        <v>28</v>
      </c>
      <c r="G6" s="1" t="s">
        <v>151</v>
      </c>
      <c r="H6" s="1">
        <v>100</v>
      </c>
      <c r="I6" s="1">
        <f>H6</f>
        <v>100</v>
      </c>
      <c r="J6" s="2">
        <f>H6</f>
        <v>100</v>
      </c>
      <c r="K6" s="1" t="s">
        <v>29</v>
      </c>
      <c r="L6" s="1" t="s">
        <v>151</v>
      </c>
      <c r="M6" s="1">
        <v>400</v>
      </c>
      <c r="N6" s="1">
        <f>M6</f>
        <v>400</v>
      </c>
      <c r="O6" s="2">
        <f>M6</f>
        <v>400</v>
      </c>
    </row>
    <row r="7" spans="1:15" x14ac:dyDescent="0.3">
      <c r="E7" s="3"/>
      <c r="J7" s="3"/>
      <c r="O7" s="3"/>
    </row>
    <row r="8" spans="1:15" x14ac:dyDescent="0.3">
      <c r="A8" s="1" t="s">
        <v>32</v>
      </c>
      <c r="B8" s="1" t="s">
        <v>150</v>
      </c>
      <c r="C8" s="1"/>
      <c r="D8" s="1"/>
      <c r="E8" s="2"/>
      <c r="F8" s="1" t="s">
        <v>33</v>
      </c>
      <c r="G8" s="1"/>
      <c r="H8" s="1"/>
      <c r="I8" s="1"/>
      <c r="J8" s="2"/>
      <c r="K8" s="1" t="s">
        <v>34</v>
      </c>
      <c r="L8" s="49" t="s">
        <v>152</v>
      </c>
      <c r="M8" s="1">
        <v>250</v>
      </c>
      <c r="N8" s="1">
        <f>M8</f>
        <v>250</v>
      </c>
      <c r="O8" s="2">
        <f>M8</f>
        <v>250</v>
      </c>
    </row>
    <row r="9" spans="1:15" x14ac:dyDescent="0.3">
      <c r="E9" s="3"/>
      <c r="J9" s="3"/>
      <c r="O9" s="3"/>
    </row>
    <row r="10" spans="1:15" x14ac:dyDescent="0.3">
      <c r="A10" s="1" t="s">
        <v>36</v>
      </c>
      <c r="B10" s="1" t="s">
        <v>150</v>
      </c>
      <c r="C10" s="1"/>
      <c r="D10" s="1"/>
      <c r="E10" s="2"/>
      <c r="F10" s="1" t="s">
        <v>37</v>
      </c>
      <c r="G10" s="49" t="s">
        <v>152</v>
      </c>
      <c r="H10" s="1">
        <f>250</f>
        <v>250</v>
      </c>
      <c r="I10" s="1">
        <f>H10</f>
        <v>250</v>
      </c>
      <c r="J10" s="2">
        <f>H10</f>
        <v>250</v>
      </c>
      <c r="K10" s="1" t="s">
        <v>38</v>
      </c>
      <c r="L10" s="49" t="s">
        <v>153</v>
      </c>
      <c r="M10" s="1">
        <v>500</v>
      </c>
      <c r="N10" s="1">
        <f>M10</f>
        <v>500</v>
      </c>
      <c r="O10" s="2">
        <f>M10</f>
        <v>500</v>
      </c>
    </row>
    <row r="11" spans="1:15" x14ac:dyDescent="0.3">
      <c r="E11" s="3"/>
      <c r="G11" s="4"/>
      <c r="H11" s="4"/>
      <c r="I11" s="4"/>
      <c r="J11" s="4"/>
      <c r="O11" s="48"/>
    </row>
    <row r="12" spans="1:15" x14ac:dyDescent="0.3">
      <c r="A12" s="1" t="s">
        <v>39</v>
      </c>
      <c r="B12" s="1" t="s">
        <v>150</v>
      </c>
      <c r="C12" s="1"/>
      <c r="D12" s="1"/>
      <c r="E12" s="2"/>
      <c r="F12" s="1" t="s">
        <v>40</v>
      </c>
      <c r="G12" t="s">
        <v>154</v>
      </c>
      <c r="H12">
        <v>600</v>
      </c>
      <c r="I12">
        <f>H12</f>
        <v>600</v>
      </c>
      <c r="J12" s="3">
        <f>H12</f>
        <v>600</v>
      </c>
      <c r="K12" s="1" t="s">
        <v>41</v>
      </c>
      <c r="L12" s="1" t="s">
        <v>155</v>
      </c>
      <c r="M12" s="1">
        <v>150</v>
      </c>
      <c r="N12" s="1">
        <f>M12</f>
        <v>150</v>
      </c>
      <c r="O12" s="2">
        <f>M12</f>
        <v>150</v>
      </c>
    </row>
    <row r="13" spans="1:15" x14ac:dyDescent="0.3">
      <c r="E13" s="3"/>
      <c r="G13" t="s">
        <v>156</v>
      </c>
      <c r="H13">
        <f>3.75*3.75*0.1*25</f>
        <v>35.15625</v>
      </c>
      <c r="I13">
        <f>H13</f>
        <v>35.15625</v>
      </c>
      <c r="J13" s="3">
        <f>H13</f>
        <v>35.15625</v>
      </c>
      <c r="L13" t="s">
        <v>156</v>
      </c>
      <c r="M13">
        <f>3.75*3.75*0.1*25</f>
        <v>35.15625</v>
      </c>
      <c r="N13">
        <f>M13</f>
        <v>35.15625</v>
      </c>
      <c r="O13" s="3">
        <f>M13</f>
        <v>35.15625</v>
      </c>
    </row>
    <row r="14" spans="1:15" x14ac:dyDescent="0.3">
      <c r="A14" s="1" t="s">
        <v>42</v>
      </c>
      <c r="B14" s="1" t="s">
        <v>150</v>
      </c>
      <c r="C14" s="1"/>
      <c r="D14" s="1"/>
      <c r="E14" s="2"/>
      <c r="F14" s="1" t="s">
        <v>43</v>
      </c>
      <c r="G14" t="s">
        <v>156</v>
      </c>
      <c r="H14">
        <f>3.75*3.75*0.1*25</f>
        <v>35.15625</v>
      </c>
      <c r="I14">
        <f>H14</f>
        <v>35.15625</v>
      </c>
      <c r="J14" s="3">
        <f>H14</f>
        <v>35.15625</v>
      </c>
      <c r="K14" s="1" t="s">
        <v>44</v>
      </c>
      <c r="L14" s="12" t="s">
        <v>157</v>
      </c>
      <c r="M14" s="1">
        <f>N14*0.6</f>
        <v>1908.5175370557995</v>
      </c>
      <c r="N14" s="1">
        <f>(1.5*1.5*PI()/4)*1.8*1000</f>
        <v>3180.8625617596658</v>
      </c>
      <c r="O14" s="2">
        <f>N14*0.3</f>
        <v>954.25876852789975</v>
      </c>
    </row>
    <row r="15" spans="1:15" x14ac:dyDescent="0.3">
      <c r="E15" s="3"/>
      <c r="J15" s="3"/>
      <c r="L15" t="s">
        <v>156</v>
      </c>
      <c r="M15">
        <f>3.75*3.75*0.1*25</f>
        <v>35.15625</v>
      </c>
      <c r="N15">
        <f>M15</f>
        <v>35.15625</v>
      </c>
      <c r="O15" s="3">
        <f>M15</f>
        <v>35.15625</v>
      </c>
    </row>
    <row r="16" spans="1:15" x14ac:dyDescent="0.3">
      <c r="A16" s="1" t="s">
        <v>46</v>
      </c>
      <c r="B16" s="1" t="s">
        <v>150</v>
      </c>
      <c r="C16" s="1"/>
      <c r="D16" s="1"/>
      <c r="E16" s="2"/>
      <c r="F16" s="1" t="s">
        <v>47</v>
      </c>
      <c r="G16" s="1" t="s">
        <v>150</v>
      </c>
      <c r="H16" s="1"/>
      <c r="I16" s="1"/>
      <c r="J16" s="2"/>
      <c r="K16" s="1" t="s">
        <v>48</v>
      </c>
      <c r="L16" s="1" t="s">
        <v>150</v>
      </c>
      <c r="M16" s="1"/>
      <c r="N16" s="1"/>
      <c r="O16" s="2"/>
    </row>
    <row r="17" spans="1:15" x14ac:dyDescent="0.3">
      <c r="E17" s="3"/>
      <c r="J17" s="3"/>
      <c r="O17" s="3"/>
    </row>
    <row r="18" spans="1:15" x14ac:dyDescent="0.3">
      <c r="A18" s="1" t="s">
        <v>50</v>
      </c>
      <c r="B18" s="1" t="s">
        <v>150</v>
      </c>
      <c r="C18" s="1"/>
      <c r="D18" s="1"/>
      <c r="E18" s="2"/>
      <c r="F18" s="1" t="s">
        <v>51</v>
      </c>
      <c r="G18" s="1" t="s">
        <v>150</v>
      </c>
      <c r="H18" s="1"/>
      <c r="I18" s="1"/>
      <c r="J18" s="2"/>
      <c r="K18" s="1" t="s">
        <v>52</v>
      </c>
      <c r="L18" s="1" t="s">
        <v>150</v>
      </c>
      <c r="M18" s="1"/>
      <c r="N18" s="1"/>
      <c r="O18" s="2"/>
    </row>
    <row r="19" spans="1:15" x14ac:dyDescent="0.3">
      <c r="E19" s="3"/>
      <c r="J19" s="3"/>
      <c r="O19" s="3"/>
    </row>
    <row r="20" spans="1:15" x14ac:dyDescent="0.3">
      <c r="A20" s="1" t="s">
        <v>54</v>
      </c>
      <c r="B20" s="1" t="s">
        <v>158</v>
      </c>
      <c r="C20" s="1">
        <v>150</v>
      </c>
      <c r="D20" s="1">
        <f>C20</f>
        <v>150</v>
      </c>
      <c r="E20" s="2">
        <f>C20</f>
        <v>150</v>
      </c>
      <c r="F20" s="1" t="s">
        <v>55</v>
      </c>
      <c r="G20" s="1" t="s">
        <v>159</v>
      </c>
      <c r="H20" s="1">
        <v>50</v>
      </c>
      <c r="I20" s="1">
        <f>H20</f>
        <v>50</v>
      </c>
      <c r="J20" s="2">
        <f>H20</f>
        <v>50</v>
      </c>
      <c r="K20" s="1" t="s">
        <v>56</v>
      </c>
      <c r="L20" s="1" t="s">
        <v>150</v>
      </c>
      <c r="M20" s="1"/>
      <c r="N20" s="1"/>
      <c r="O20" s="2"/>
    </row>
    <row r="21" spans="1:15" x14ac:dyDescent="0.3">
      <c r="E21" s="3"/>
      <c r="J21" s="3"/>
      <c r="O21" s="3"/>
    </row>
    <row r="22" spans="1:15" x14ac:dyDescent="0.3">
      <c r="A22" s="1" t="s">
        <v>57</v>
      </c>
      <c r="B22" s="1" t="s">
        <v>160</v>
      </c>
      <c r="C22" s="1">
        <v>3000</v>
      </c>
      <c r="D22" s="1">
        <f>C22</f>
        <v>3000</v>
      </c>
      <c r="E22" s="2">
        <f>C22</f>
        <v>3000</v>
      </c>
      <c r="F22" s="1" t="s">
        <v>58</v>
      </c>
      <c r="G22" s="1" t="s">
        <v>151</v>
      </c>
      <c r="H22" s="1">
        <v>250</v>
      </c>
      <c r="I22" s="1">
        <f>H22</f>
        <v>250</v>
      </c>
      <c r="J22" s="2">
        <f>H22</f>
        <v>250</v>
      </c>
      <c r="K22" s="1" t="s">
        <v>59</v>
      </c>
      <c r="L22" s="1" t="s">
        <v>150</v>
      </c>
      <c r="M22" s="1"/>
      <c r="N22" s="1"/>
      <c r="O22" s="2"/>
    </row>
    <row r="23" spans="1:15" x14ac:dyDescent="0.3">
      <c r="B23" t="s">
        <v>161</v>
      </c>
      <c r="C23">
        <v>250</v>
      </c>
      <c r="D23" s="4">
        <f>C23</f>
        <v>250</v>
      </c>
      <c r="E23" s="5">
        <f>C23</f>
        <v>250</v>
      </c>
      <c r="J23" s="3"/>
      <c r="O23" s="3"/>
    </row>
    <row r="24" spans="1:15" x14ac:dyDescent="0.3">
      <c r="A24" s="1" t="s">
        <v>60</v>
      </c>
      <c r="B24" s="1" t="s">
        <v>160</v>
      </c>
      <c r="C24" s="1">
        <v>3000</v>
      </c>
      <c r="D24">
        <f t="shared" ref="D24:D26" si="0">C24</f>
        <v>3000</v>
      </c>
      <c r="E24" s="3">
        <f t="shared" ref="E24:E26" si="1">C24</f>
        <v>3000</v>
      </c>
      <c r="F24" s="1" t="s">
        <v>61</v>
      </c>
      <c r="G24" s="1"/>
      <c r="H24" s="1"/>
      <c r="I24" s="1"/>
      <c r="J24" s="2"/>
      <c r="K24" s="1" t="s">
        <v>62</v>
      </c>
      <c r="L24" s="1" t="s">
        <v>150</v>
      </c>
      <c r="M24" s="1"/>
      <c r="N24" s="1"/>
      <c r="O24" s="2"/>
    </row>
    <row r="25" spans="1:15" x14ac:dyDescent="0.3">
      <c r="B25" t="s">
        <v>151</v>
      </c>
      <c r="C25">
        <v>200</v>
      </c>
      <c r="D25" s="4">
        <f t="shared" si="0"/>
        <v>200</v>
      </c>
      <c r="E25" s="5">
        <f t="shared" si="1"/>
        <v>200</v>
      </c>
      <c r="J25" s="3"/>
      <c r="O25" s="3"/>
    </row>
    <row r="26" spans="1:15" x14ac:dyDescent="0.3">
      <c r="A26" s="1" t="s">
        <v>64</v>
      </c>
      <c r="B26" s="49" t="s">
        <v>162</v>
      </c>
      <c r="C26" s="1">
        <v>400</v>
      </c>
      <c r="D26">
        <f t="shared" si="0"/>
        <v>400</v>
      </c>
      <c r="E26" s="3">
        <f t="shared" si="1"/>
        <v>400</v>
      </c>
      <c r="F26" s="1" t="s">
        <v>65</v>
      </c>
      <c r="G26" s="49" t="s">
        <v>153</v>
      </c>
      <c r="H26" s="1">
        <v>500</v>
      </c>
      <c r="I26" s="1">
        <f>H26</f>
        <v>500</v>
      </c>
      <c r="J26" s="2">
        <f>H26</f>
        <v>500</v>
      </c>
      <c r="K26" s="1" t="s">
        <v>66</v>
      </c>
      <c r="L26" s="1" t="s">
        <v>150</v>
      </c>
      <c r="M26" s="1"/>
      <c r="N26" s="1"/>
      <c r="O26" s="2"/>
    </row>
    <row r="27" spans="1:15" x14ac:dyDescent="0.3">
      <c r="E27" s="3"/>
      <c r="J27" s="3"/>
      <c r="O27" s="3"/>
    </row>
    <row r="28" spans="1:15" x14ac:dyDescent="0.3">
      <c r="A28" s="1" t="s">
        <v>68</v>
      </c>
      <c r="B28" s="1" t="s">
        <v>155</v>
      </c>
      <c r="C28" s="1">
        <f>250</f>
        <v>250</v>
      </c>
      <c r="D28" s="1">
        <f>C28</f>
        <v>250</v>
      </c>
      <c r="E28" s="2">
        <f>C28</f>
        <v>250</v>
      </c>
      <c r="F28" s="1" t="s">
        <v>69</v>
      </c>
      <c r="G28" s="1" t="s">
        <v>154</v>
      </c>
      <c r="H28" s="1">
        <v>600</v>
      </c>
      <c r="I28" s="1">
        <f>H28</f>
        <v>600</v>
      </c>
      <c r="J28" s="2">
        <f>H28</f>
        <v>600</v>
      </c>
      <c r="K28" s="1" t="s">
        <v>70</v>
      </c>
      <c r="L28" s="1" t="s">
        <v>150</v>
      </c>
      <c r="M28" s="1"/>
      <c r="N28" s="1"/>
      <c r="O28" s="2"/>
    </row>
    <row r="29" spans="1:15" x14ac:dyDescent="0.3">
      <c r="B29" t="s">
        <v>156</v>
      </c>
      <c r="C29">
        <f>3.75*3.75*0.1*25</f>
        <v>35.15625</v>
      </c>
      <c r="D29">
        <f>C29</f>
        <v>35.15625</v>
      </c>
      <c r="E29" s="3">
        <f>C29</f>
        <v>35.15625</v>
      </c>
      <c r="G29" t="s">
        <v>156</v>
      </c>
      <c r="H29">
        <f>3.75*3.75*0.1*25</f>
        <v>35.15625</v>
      </c>
      <c r="I29">
        <f>H29</f>
        <v>35.15625</v>
      </c>
      <c r="J29" s="3">
        <f>H29</f>
        <v>35.15625</v>
      </c>
      <c r="O29" s="3"/>
    </row>
    <row r="30" spans="1:15" x14ac:dyDescent="0.3">
      <c r="A30" s="1" t="s">
        <v>71</v>
      </c>
      <c r="B30" s="1" t="s">
        <v>163</v>
      </c>
      <c r="C30" s="1">
        <f>100+C29</f>
        <v>135.15625</v>
      </c>
      <c r="D30" s="1">
        <f>C30</f>
        <v>135.15625</v>
      </c>
      <c r="E30" s="2">
        <f>C30</f>
        <v>135.15625</v>
      </c>
      <c r="F30" s="1" t="s">
        <v>72</v>
      </c>
      <c r="G30" t="s">
        <v>156</v>
      </c>
      <c r="H30">
        <f>3.75*3.75*0.1*25</f>
        <v>35.15625</v>
      </c>
      <c r="I30">
        <f>H30</f>
        <v>35.15625</v>
      </c>
      <c r="J30" s="3">
        <f>H30</f>
        <v>35.15625</v>
      </c>
      <c r="K30" s="1" t="s">
        <v>73</v>
      </c>
      <c r="L30" s="1" t="s">
        <v>150</v>
      </c>
      <c r="M30" s="1"/>
      <c r="N30" s="1"/>
      <c r="O30" s="2"/>
    </row>
    <row r="31" spans="1:15" x14ac:dyDescent="0.3">
      <c r="B31" t="s">
        <v>164</v>
      </c>
      <c r="C31">
        <v>3400</v>
      </c>
      <c r="D31">
        <f>C31</f>
        <v>3400</v>
      </c>
      <c r="E31" s="3">
        <f>C31</f>
        <v>3400</v>
      </c>
      <c r="J31" s="3"/>
      <c r="O31" s="3"/>
    </row>
    <row r="32" spans="1:15" x14ac:dyDescent="0.3">
      <c r="A32" s="1" t="s">
        <v>74</v>
      </c>
      <c r="B32" s="1" t="s">
        <v>150</v>
      </c>
      <c r="C32" s="1"/>
      <c r="D32" s="1"/>
      <c r="E32" s="2"/>
      <c r="F32" s="1" t="s">
        <v>75</v>
      </c>
      <c r="G32" s="1" t="s">
        <v>150</v>
      </c>
      <c r="H32" s="1"/>
      <c r="I32" s="1"/>
      <c r="J32" s="2"/>
      <c r="K32" s="1" t="s">
        <v>76</v>
      </c>
      <c r="L32" s="1" t="s">
        <v>150</v>
      </c>
      <c r="M32" s="1"/>
      <c r="N32" s="1"/>
      <c r="O32" s="2"/>
    </row>
    <row r="33" spans="1:15" x14ac:dyDescent="0.3">
      <c r="E33" s="3"/>
      <c r="J33" s="3"/>
      <c r="O33" s="3"/>
    </row>
    <row r="34" spans="1:15" x14ac:dyDescent="0.3">
      <c r="A34" s="1" t="s">
        <v>77</v>
      </c>
      <c r="B34" s="1" t="s">
        <v>150</v>
      </c>
      <c r="C34" s="1"/>
      <c r="D34" s="1"/>
      <c r="E34" s="2"/>
      <c r="F34" s="1" t="s">
        <v>79</v>
      </c>
      <c r="G34" s="1" t="s">
        <v>150</v>
      </c>
      <c r="H34" s="1"/>
      <c r="I34" s="1"/>
      <c r="J34" s="2"/>
      <c r="K34" s="1"/>
      <c r="L34" s="1"/>
      <c r="M34" s="1"/>
      <c r="N34" s="1"/>
      <c r="O34" s="2"/>
    </row>
    <row r="35" spans="1:15" x14ac:dyDescent="0.3">
      <c r="E35" s="3"/>
      <c r="J35" s="3"/>
      <c r="O35" s="3"/>
    </row>
    <row r="36" spans="1:15" x14ac:dyDescent="0.3">
      <c r="A36" s="1" t="s">
        <v>80</v>
      </c>
      <c r="B36" s="1" t="s">
        <v>165</v>
      </c>
      <c r="C36" s="1">
        <v>20</v>
      </c>
      <c r="D36" s="1">
        <f>C36</f>
        <v>20</v>
      </c>
      <c r="E36" s="2">
        <f>C36</f>
        <v>20</v>
      </c>
      <c r="F36" s="1" t="s">
        <v>81</v>
      </c>
      <c r="G36" s="12" t="s">
        <v>166</v>
      </c>
      <c r="H36" s="1">
        <f>0.7*I36</f>
        <v>1680</v>
      </c>
      <c r="I36" s="1">
        <f>0.8*1.2*2.5*1000</f>
        <v>2400</v>
      </c>
      <c r="J36" s="2">
        <f>0.2*I36</f>
        <v>480</v>
      </c>
      <c r="K36" s="1"/>
      <c r="L36" s="1"/>
      <c r="M36" s="1"/>
      <c r="N36" s="1"/>
      <c r="O36" s="2"/>
    </row>
    <row r="37" spans="1:15" x14ac:dyDescent="0.3">
      <c r="E37" s="3"/>
      <c r="J37" s="3"/>
      <c r="O37" s="3"/>
    </row>
    <row r="38" spans="1:15" x14ac:dyDescent="0.3">
      <c r="A38" s="1" t="s">
        <v>82</v>
      </c>
      <c r="B38" s="1" t="s">
        <v>159</v>
      </c>
      <c r="C38" s="1">
        <v>150</v>
      </c>
      <c r="D38" s="1">
        <f>C38</f>
        <v>150</v>
      </c>
      <c r="E38" s="2">
        <f>D38</f>
        <v>150</v>
      </c>
      <c r="F38" s="1" t="s">
        <v>83</v>
      </c>
      <c r="G38" s="1" t="s">
        <v>167</v>
      </c>
      <c r="H38" s="1">
        <v>250</v>
      </c>
      <c r="I38" s="1">
        <f>H38</f>
        <v>250</v>
      </c>
      <c r="J38" s="2">
        <f>H38</f>
        <v>250</v>
      </c>
      <c r="K38" s="1"/>
      <c r="L38" s="1"/>
      <c r="M38" s="1"/>
      <c r="N38" s="1"/>
      <c r="O38" s="2"/>
    </row>
    <row r="39" spans="1:15" x14ac:dyDescent="0.3">
      <c r="E39" s="3"/>
      <c r="J39" s="3"/>
      <c r="O39" s="3"/>
    </row>
    <row r="40" spans="1:15" x14ac:dyDescent="0.3">
      <c r="A40" s="1" t="s">
        <v>84</v>
      </c>
      <c r="B40" s="49" t="s">
        <v>168</v>
      </c>
      <c r="C40" s="1">
        <v>220</v>
      </c>
      <c r="D40" s="1">
        <f>C40</f>
        <v>220</v>
      </c>
      <c r="E40" s="2">
        <f>C40</f>
        <v>220</v>
      </c>
      <c r="F40" s="1" t="s">
        <v>85</v>
      </c>
      <c r="G40" s="1"/>
      <c r="H40" s="1"/>
      <c r="I40" s="1"/>
      <c r="J40" s="2"/>
      <c r="K40" s="1"/>
      <c r="L40" s="1"/>
      <c r="M40" s="1"/>
      <c r="N40" s="1"/>
      <c r="O40" s="2"/>
    </row>
    <row r="41" spans="1:15" x14ac:dyDescent="0.3">
      <c r="E41" s="3"/>
      <c r="J41" s="3"/>
      <c r="O41" s="3"/>
    </row>
    <row r="42" spans="1:15" x14ac:dyDescent="0.3">
      <c r="A42" s="1" t="s">
        <v>86</v>
      </c>
      <c r="B42" s="49" t="s">
        <v>169</v>
      </c>
      <c r="C42" s="1">
        <v>350</v>
      </c>
      <c r="D42" s="1">
        <f>C42</f>
        <v>350</v>
      </c>
      <c r="E42" s="2">
        <f>C42</f>
        <v>350</v>
      </c>
      <c r="F42" s="1" t="s">
        <v>87</v>
      </c>
      <c r="G42" s="49" t="s">
        <v>170</v>
      </c>
      <c r="H42" s="1">
        <v>100</v>
      </c>
      <c r="I42" s="1">
        <f>H42</f>
        <v>100</v>
      </c>
      <c r="J42" s="2">
        <f>H42</f>
        <v>100</v>
      </c>
      <c r="K42" s="1"/>
      <c r="L42" s="1"/>
      <c r="M42" s="1"/>
      <c r="N42" s="1"/>
      <c r="O42" s="2"/>
    </row>
    <row r="43" spans="1:15" x14ac:dyDescent="0.3">
      <c r="E43" s="3"/>
      <c r="J43" s="3"/>
      <c r="O43" s="3"/>
    </row>
    <row r="44" spans="1:15" x14ac:dyDescent="0.3">
      <c r="A44" s="1" t="s">
        <v>88</v>
      </c>
      <c r="B44" s="1" t="s">
        <v>154</v>
      </c>
      <c r="C44" s="1">
        <v>600</v>
      </c>
      <c r="D44" s="1">
        <f>C44</f>
        <v>600</v>
      </c>
      <c r="E44" s="2">
        <f>C44</f>
        <v>600</v>
      </c>
      <c r="F44" s="1" t="s">
        <v>89</v>
      </c>
      <c r="G44" s="1" t="s">
        <v>154</v>
      </c>
      <c r="H44" s="1">
        <v>600</v>
      </c>
      <c r="I44" s="1">
        <f>H44</f>
        <v>600</v>
      </c>
      <c r="J44" s="2">
        <f>H44</f>
        <v>600</v>
      </c>
      <c r="K44" s="1"/>
      <c r="L44" s="1"/>
      <c r="M44" s="1"/>
      <c r="N44" s="1"/>
      <c r="O44" s="2"/>
    </row>
    <row r="45" spans="1:15" x14ac:dyDescent="0.3">
      <c r="B45" t="s">
        <v>156</v>
      </c>
      <c r="C45">
        <f>3.75*3.75*0.1*25</f>
        <v>35.15625</v>
      </c>
      <c r="D45">
        <f>C45</f>
        <v>35.15625</v>
      </c>
      <c r="E45" s="3">
        <f>C45</f>
        <v>35.15625</v>
      </c>
      <c r="G45" t="s">
        <v>156</v>
      </c>
      <c r="H45">
        <f>3.75*3.75*0.1*25</f>
        <v>35.15625</v>
      </c>
      <c r="I45">
        <f>H45</f>
        <v>35.15625</v>
      </c>
      <c r="J45" s="3">
        <f>H45</f>
        <v>35.15625</v>
      </c>
      <c r="O45" s="3"/>
    </row>
    <row r="46" spans="1:15" x14ac:dyDescent="0.3">
      <c r="A46" s="1" t="s">
        <v>90</v>
      </c>
      <c r="B46" t="s">
        <v>156</v>
      </c>
      <c r="C46">
        <f>3.75*3.75*0.1*25</f>
        <v>35.15625</v>
      </c>
      <c r="D46">
        <f>C46</f>
        <v>35.15625</v>
      </c>
      <c r="E46" s="3">
        <f>C46</f>
        <v>35.15625</v>
      </c>
      <c r="F46" s="1" t="s">
        <v>91</v>
      </c>
      <c r="G46" s="1" t="s">
        <v>171</v>
      </c>
      <c r="H46" s="1">
        <v>200</v>
      </c>
      <c r="I46" s="1">
        <f>H46</f>
        <v>200</v>
      </c>
      <c r="J46" s="2">
        <f>H46</f>
        <v>200</v>
      </c>
      <c r="K46" s="1"/>
      <c r="L46" s="1"/>
      <c r="M46" s="1"/>
      <c r="N46" s="1"/>
      <c r="O46" s="2"/>
    </row>
    <row r="47" spans="1:15" x14ac:dyDescent="0.3">
      <c r="E47" s="3"/>
      <c r="G47" t="s">
        <v>156</v>
      </c>
      <c r="H47">
        <f>3.75*3.75*0.1*25</f>
        <v>35.15625</v>
      </c>
      <c r="I47">
        <f>H47</f>
        <v>35.15625</v>
      </c>
      <c r="J47" s="3">
        <f>H47</f>
        <v>35.15625</v>
      </c>
      <c r="O47" s="3"/>
    </row>
    <row r="48" spans="1:15" x14ac:dyDescent="0.3">
      <c r="A48" s="1" t="s">
        <v>92</v>
      </c>
      <c r="B48" s="1" t="s">
        <v>150</v>
      </c>
      <c r="C48" s="1"/>
      <c r="D48" s="1"/>
      <c r="E48" s="2"/>
      <c r="F48" s="1" t="s">
        <v>93</v>
      </c>
      <c r="G48" s="1" t="s">
        <v>150</v>
      </c>
      <c r="H48" s="1"/>
      <c r="I48" s="1"/>
      <c r="J48" s="2"/>
      <c r="K48" s="1"/>
      <c r="L48" s="1"/>
      <c r="M48" s="1"/>
      <c r="N48" s="1"/>
      <c r="O48" s="2"/>
    </row>
    <row r="49" spans="1:15" x14ac:dyDescent="0.3">
      <c r="A49" s="4"/>
      <c r="B49" s="4"/>
      <c r="C49" s="4"/>
      <c r="D49" s="4"/>
      <c r="E49" s="5"/>
      <c r="F49" s="4"/>
      <c r="G49" s="4"/>
      <c r="H49" s="4"/>
      <c r="I49" s="4"/>
      <c r="J49" s="5"/>
      <c r="K49" s="4"/>
      <c r="L49" s="4"/>
      <c r="M49" s="4"/>
      <c r="N49" s="4"/>
      <c r="O49" s="5"/>
    </row>
    <row r="51" spans="1:15" x14ac:dyDescent="0.3">
      <c r="B51" t="s">
        <v>94</v>
      </c>
    </row>
    <row r="52" spans="1:15" x14ac:dyDescent="0.3">
      <c r="B52"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A8F5E-9A65-4517-AAB5-601AED349FD7}">
  <sheetPr>
    <pageSetUpPr autoPageBreaks="0"/>
  </sheetPr>
  <dimension ref="A1:AF12"/>
  <sheetViews>
    <sheetView topLeftCell="A2" zoomScale="90" zoomScaleNormal="70" workbookViewId="0">
      <selection activeCell="G9" sqref="G9"/>
    </sheetView>
  </sheetViews>
  <sheetFormatPr defaultRowHeight="14.4" x14ac:dyDescent="0.3"/>
  <cols>
    <col min="1" max="1" width="8.88671875" customWidth="1"/>
    <col min="5" max="5" width="8.88671875" customWidth="1"/>
    <col min="9" max="9" width="8.88671875" customWidth="1"/>
    <col min="10" max="10" width="1.44140625" bestFit="1" customWidth="1"/>
    <col min="21" max="21" width="1.44140625" bestFit="1" customWidth="1"/>
    <col min="32" max="32" width="1.44140625" bestFit="1" customWidth="1"/>
  </cols>
  <sheetData>
    <row r="1" spans="1:32" x14ac:dyDescent="0.3">
      <c r="A1" t="s">
        <v>173</v>
      </c>
    </row>
    <row r="2" spans="1:32" x14ac:dyDescent="0.3">
      <c r="A2" t="s">
        <v>13</v>
      </c>
      <c r="L2" t="s">
        <v>107</v>
      </c>
      <c r="W2" t="s">
        <v>149</v>
      </c>
    </row>
    <row r="3" spans="1:32" x14ac:dyDescent="0.3">
      <c r="A3" s="8">
        <v>9</v>
      </c>
      <c r="L3" s="8">
        <v>9</v>
      </c>
      <c r="W3" s="8">
        <v>9</v>
      </c>
    </row>
    <row r="4" spans="1:32" ht="45" customHeight="1" thickBot="1" x14ac:dyDescent="0.35">
      <c r="A4" s="9">
        <v>8</v>
      </c>
      <c r="B4" s="15">
        <f>SUM('Verdieping 1'!C16:C17)</f>
        <v>1000</v>
      </c>
      <c r="C4" s="16">
        <f>SUM('Verdieping 1'!C32:C33)</f>
        <v>-197.95960708432685</v>
      </c>
      <c r="D4" s="16">
        <f>SUM('Verdieping 1'!C48:C49)</f>
        <v>0</v>
      </c>
      <c r="E4" s="17">
        <f>SUM('Verdieping 1'!H16:H17)</f>
        <v>0</v>
      </c>
      <c r="F4" s="16">
        <f>SUM('Verdieping 1'!H32:H33)</f>
        <v>0</v>
      </c>
      <c r="G4" s="16">
        <f>SUM('Verdieping 1'!H48:H49)</f>
        <v>0</v>
      </c>
      <c r="H4" s="16">
        <f>SUM('Verdieping 1'!M16:M17)</f>
        <v>-197.95960708432685</v>
      </c>
      <c r="I4" s="17">
        <f>SUM('Verdieping 1'!M32:M33)</f>
        <v>129.375</v>
      </c>
      <c r="L4" s="9">
        <v>8</v>
      </c>
      <c r="M4" s="15">
        <f>SUM('Verdieping 0'!C16:C17)</f>
        <v>0</v>
      </c>
      <c r="N4" s="16">
        <f>SUM('Verdieping 0'!C32:C33)</f>
        <v>1000</v>
      </c>
      <c r="O4" s="16">
        <f>SUM('Verdieping 0'!C48:C49)</f>
        <v>0</v>
      </c>
      <c r="P4" s="17">
        <f>SUM('Verdieping 0'!H16:H17)</f>
        <v>0</v>
      </c>
      <c r="Q4" s="16">
        <f>SUM('Verdieping 0'!H32:H33)</f>
        <v>0</v>
      </c>
      <c r="R4" s="16">
        <f>SUM('Verdieping 0'!H48:H49)</f>
        <v>0</v>
      </c>
      <c r="S4" s="16">
        <f>SUM('Verdieping 0'!M16:M17)</f>
        <v>0</v>
      </c>
      <c r="T4" s="17">
        <f>SUM('Verdieping 0'!M32:M33)</f>
        <v>0</v>
      </c>
      <c r="W4" s="9">
        <v>8</v>
      </c>
      <c r="X4" s="15">
        <f>SUM('Verdieping -1'!C16:C17)</f>
        <v>0</v>
      </c>
      <c r="Y4" s="16">
        <f>SUM('Verdieping -1'!C32:C33)</f>
        <v>0</v>
      </c>
      <c r="Z4" s="16">
        <f>SUM('Verdieping -1'!C48:C49)</f>
        <v>0</v>
      </c>
      <c r="AA4" s="17">
        <f>SUM('Verdieping -1'!H16:H17)</f>
        <v>0</v>
      </c>
      <c r="AB4" s="16">
        <f>SUM('Verdieping -1'!H32:H33)</f>
        <v>0</v>
      </c>
      <c r="AC4" s="16">
        <f>SUM('Verdieping -1'!H48:H49)</f>
        <v>0</v>
      </c>
      <c r="AD4" s="16">
        <f>SUM('Verdieping -1'!M16:M17)</f>
        <v>0</v>
      </c>
      <c r="AE4" s="17">
        <f>SUM('Verdieping -1'!M32:M33)</f>
        <v>0</v>
      </c>
    </row>
    <row r="5" spans="1:32" ht="45" customHeight="1" thickBot="1" x14ac:dyDescent="0.35">
      <c r="A5" s="9">
        <v>7</v>
      </c>
      <c r="B5" s="18">
        <f>SUM('Verdieping 1'!C14:C15)</f>
        <v>0</v>
      </c>
      <c r="C5" s="23">
        <f>SUM('Verdieping 1'!C30:C31)</f>
        <v>0</v>
      </c>
      <c r="D5" s="24">
        <f>SUM('Verdieping 1'!C46:C47)</f>
        <v>0</v>
      </c>
      <c r="E5" s="25">
        <f>SUM('Verdieping 1'!H14:H15)</f>
        <v>0</v>
      </c>
      <c r="F5" s="24">
        <f>SUM('Verdieping 1'!H30:H31)</f>
        <v>0</v>
      </c>
      <c r="G5" s="24">
        <f>SUM('Verdieping 1'!H46:H47)</f>
        <v>0</v>
      </c>
      <c r="H5" s="26">
        <f>SUM('Verdieping 1'!M14:M15)</f>
        <v>637.5</v>
      </c>
      <c r="I5" s="19">
        <f>SUM('Verdieping 1'!M30:M31)</f>
        <v>129.375</v>
      </c>
      <c r="L5" s="9">
        <v>7</v>
      </c>
      <c r="M5" s="18">
        <f>SUM('Verdieping 0'!C14:C15)</f>
        <v>0</v>
      </c>
      <c r="N5" s="44">
        <f>SUM('Verdieping 0'!C30:C31)</f>
        <v>-1536</v>
      </c>
      <c r="O5" s="24">
        <f>SUM('Verdieping 0'!C46:C47)</f>
        <v>800</v>
      </c>
      <c r="P5" s="25">
        <f>SUM('Verdieping 0'!H14:H15)</f>
        <v>0</v>
      </c>
      <c r="Q5" s="24">
        <f>SUM('Verdieping 0'!H30:H31)</f>
        <v>850</v>
      </c>
      <c r="R5" s="39">
        <f>SUM('Verdieping 0'!H46:H47)</f>
        <v>150</v>
      </c>
      <c r="S5" s="41">
        <f>SUM('Verdieping 0'!M14:M15)</f>
        <v>850</v>
      </c>
      <c r="T5" s="19">
        <f>SUM('Verdieping 0'!M30:M31)</f>
        <v>0</v>
      </c>
      <c r="W5" s="9">
        <v>7</v>
      </c>
      <c r="X5" s="18">
        <f>SUM('Verdieping -1'!C14:C15)</f>
        <v>0</v>
      </c>
      <c r="Y5" s="23">
        <f>SUM('Verdieping -1'!C30:C31)</f>
        <v>3535.15625</v>
      </c>
      <c r="Z5" s="24">
        <f>SUM('Verdieping -1'!C46:C47)</f>
        <v>35.15625</v>
      </c>
      <c r="AA5" s="25">
        <f>SUM('Verdieping -1'!H14:H15)</f>
        <v>35.15625</v>
      </c>
      <c r="AB5" s="24">
        <f>SUM('Verdieping -1'!H30:H31)</f>
        <v>35.15625</v>
      </c>
      <c r="AC5" s="24">
        <f>SUM('Verdieping -1'!H46:H47)</f>
        <v>235.15625</v>
      </c>
      <c r="AD5" s="26">
        <f>SUM('Verdieping -1'!M14:M15)</f>
        <v>1943.6737870557995</v>
      </c>
      <c r="AE5" s="19">
        <f>SUM('Verdieping -1'!M30:M31)</f>
        <v>0</v>
      </c>
    </row>
    <row r="6" spans="1:32" ht="45" customHeight="1" thickBot="1" x14ac:dyDescent="0.35">
      <c r="A6" s="9">
        <v>6</v>
      </c>
      <c r="B6" s="18">
        <f>SUM('Verdieping 1'!C12:C13)</f>
        <v>0</v>
      </c>
      <c r="C6" s="27">
        <f>SUM('Verdieping 1'!C28:C29)</f>
        <v>0</v>
      </c>
      <c r="D6" s="9">
        <f>SUM('Verdieping 1'!C44:C45)</f>
        <v>0</v>
      </c>
      <c r="E6" s="19">
        <f>SUM('Verdieping 1'!H12:H13)</f>
        <v>0</v>
      </c>
      <c r="F6" s="9">
        <f>SUM('Verdieping 1'!H28:H29)</f>
        <v>0</v>
      </c>
      <c r="G6" s="9">
        <f>SUM('Verdieping 1'!H44:H45)</f>
        <v>0</v>
      </c>
      <c r="H6" s="28">
        <f>SUM('Verdieping 1'!M12:M13)</f>
        <v>512.5</v>
      </c>
      <c r="I6" s="19">
        <f>SUM('Verdieping 1'!M28:M29)</f>
        <v>129.375</v>
      </c>
      <c r="L6" s="9">
        <v>6</v>
      </c>
      <c r="M6" s="18">
        <f>SUM('Verdieping 0'!C12:C13)</f>
        <v>0</v>
      </c>
      <c r="N6" s="45">
        <f>SUM('Verdieping 0'!C28:C29)</f>
        <v>-3750</v>
      </c>
      <c r="O6" s="9">
        <f>SUM('Verdieping 0'!C44:C45)</f>
        <v>30</v>
      </c>
      <c r="P6" s="39">
        <f>SUM('Verdieping 0'!H12:H13)</f>
        <v>250</v>
      </c>
      <c r="Q6" s="42">
        <f>SUM('Verdieping 0'!H28:H29)</f>
        <v>913.26988405438965</v>
      </c>
      <c r="R6" s="27">
        <f>SUM('Verdieping 0'!H44:H45)</f>
        <v>350</v>
      </c>
      <c r="S6" s="28">
        <f>SUM('Verdieping 0'!M12:M13)</f>
        <v>775</v>
      </c>
      <c r="T6" s="19">
        <f>SUM('Verdieping 0'!M28:M29)</f>
        <v>30</v>
      </c>
      <c r="W6" s="9">
        <v>6</v>
      </c>
      <c r="X6" s="18">
        <f>SUM('Verdieping -1'!C12:C13)</f>
        <v>0</v>
      </c>
      <c r="Y6" s="27">
        <f>SUM('Verdieping -1'!C28:C29)</f>
        <v>285.15625</v>
      </c>
      <c r="Z6" s="9">
        <f>SUM('Verdieping -1'!C44:C45)</f>
        <v>635.15625</v>
      </c>
      <c r="AA6" s="19">
        <f>SUM('Verdieping -1'!H12:H13)</f>
        <v>635.15625</v>
      </c>
      <c r="AB6" s="9">
        <f>SUM('Verdieping -1'!H28:H29)</f>
        <v>635.15625</v>
      </c>
      <c r="AC6" s="9">
        <f>SUM('Verdieping -1'!H44:H45)</f>
        <v>635.15625</v>
      </c>
      <c r="AD6" s="28">
        <f>SUM('Verdieping -1'!M12:M13)</f>
        <v>185.15625</v>
      </c>
      <c r="AE6" s="19">
        <f>SUM('Verdieping -1'!M28:M29)</f>
        <v>0</v>
      </c>
    </row>
    <row r="7" spans="1:32" ht="45" customHeight="1" thickBot="1" x14ac:dyDescent="0.35">
      <c r="A7" s="9">
        <v>5</v>
      </c>
      <c r="B7" s="20">
        <f>SUM('Verdieping 1'!C10:C11)</f>
        <v>0</v>
      </c>
      <c r="C7" s="29">
        <f>SUM('Verdieping 1'!C26:C27)</f>
        <v>0</v>
      </c>
      <c r="D7" s="21">
        <f>SUM('Verdieping 1'!C42:C43)</f>
        <v>0</v>
      </c>
      <c r="E7" s="22">
        <f>SUM('Verdieping 1'!H10:H11)</f>
        <v>0</v>
      </c>
      <c r="F7" s="21">
        <f>SUM('Verdieping 1'!H26:H27)</f>
        <v>0</v>
      </c>
      <c r="G7" s="21">
        <f>SUM('Verdieping 1'!H42:H43)</f>
        <v>0</v>
      </c>
      <c r="H7" s="30">
        <f>SUM('Verdieping 1'!M10:M11)</f>
        <v>50</v>
      </c>
      <c r="I7" s="22">
        <f>SUM('Verdieping 1'!M26:M27)</f>
        <v>254.77322368615503</v>
      </c>
      <c r="L7" s="9">
        <v>5</v>
      </c>
      <c r="M7" s="20">
        <f>SUM('Verdieping 0'!C10:C11)</f>
        <v>0</v>
      </c>
      <c r="N7" s="29">
        <f>SUM('Verdieping 0'!C26:C27)</f>
        <v>200</v>
      </c>
      <c r="O7" s="39">
        <f>SUM('Verdieping 0'!C42:C43)</f>
        <v>3665.625</v>
      </c>
      <c r="P7" s="40">
        <f>SUM('Verdieping 0'!H10:H11)</f>
        <v>3715.625</v>
      </c>
      <c r="Q7" s="46">
        <f>SUM('Verdieping 0'!H26:H27)</f>
        <v>3815.625</v>
      </c>
      <c r="R7" s="29">
        <f>SUM('Verdieping 0'!H42:H43)</f>
        <v>0</v>
      </c>
      <c r="S7" s="30">
        <f>SUM('Verdieping 0'!M10:M11)</f>
        <v>3700</v>
      </c>
      <c r="T7" s="22">
        <f>SUM('Verdieping 0'!M26:M27)</f>
        <v>75</v>
      </c>
      <c r="W7" s="9">
        <v>5</v>
      </c>
      <c r="X7" s="20">
        <f>SUM('Verdieping -1'!C10:C11)</f>
        <v>0</v>
      </c>
      <c r="Y7" s="35">
        <f>SUM('Verdieping -1'!C26:C27)</f>
        <v>400</v>
      </c>
      <c r="Z7" s="36">
        <f>SUM('Verdieping -1'!C42:C43)</f>
        <v>350</v>
      </c>
      <c r="AA7" s="37">
        <f>SUM('Verdieping -1'!H10:H11)</f>
        <v>250</v>
      </c>
      <c r="AB7" s="36">
        <f>SUM('Verdieping -1'!H26:H27)</f>
        <v>500</v>
      </c>
      <c r="AC7" s="36">
        <f>SUM('Verdieping -1'!H42:H43)</f>
        <v>100</v>
      </c>
      <c r="AD7" s="38">
        <f>SUM('Verdieping -1'!M10:M11)</f>
        <v>500</v>
      </c>
      <c r="AE7" s="22">
        <f>SUM('Verdieping -1'!M26:M27)</f>
        <v>0</v>
      </c>
    </row>
    <row r="8" spans="1:32" ht="45" customHeight="1" thickBot="1" x14ac:dyDescent="0.35">
      <c r="A8" s="9">
        <v>4</v>
      </c>
      <c r="B8" s="18">
        <f>SUM('Verdieping 1'!C8:C9)</f>
        <v>0</v>
      </c>
      <c r="C8" s="27">
        <f>SUM('Verdieping 1'!C24:C25)</f>
        <v>0</v>
      </c>
      <c r="D8" s="9">
        <f>SUM('Verdieping 1'!C40:C41)</f>
        <v>0</v>
      </c>
      <c r="E8" s="19">
        <f>SUM('Verdieping 1'!H8:H9)</f>
        <v>0</v>
      </c>
      <c r="F8" s="9">
        <f>SUM('Verdieping 1'!H24:H25)</f>
        <v>0</v>
      </c>
      <c r="G8" s="9">
        <f>SUM('Verdieping 1'!H40:H41)</f>
        <v>18600</v>
      </c>
      <c r="H8" s="28">
        <f>SUM('Verdieping 1'!M8:M9)</f>
        <v>50</v>
      </c>
      <c r="I8" s="19">
        <f>SUM('Verdieping 1'!M24:M25)</f>
        <v>204.375</v>
      </c>
      <c r="L8" s="9">
        <v>4</v>
      </c>
      <c r="M8" s="18">
        <f>SUM('Verdieping 0'!C8:C9)</f>
        <v>0</v>
      </c>
      <c r="N8" s="27">
        <f>SUM('Verdieping 0'!C24:C25)</f>
        <v>-1540.0000000000002</v>
      </c>
      <c r="O8" s="42">
        <f>SUM('Verdieping 0'!C40:C41)</f>
        <v>3615.625</v>
      </c>
      <c r="P8" s="43">
        <f>SUM('Verdieping 0'!H8:H9)</f>
        <v>3755.625</v>
      </c>
      <c r="Q8" s="46">
        <f>SUM('Verdieping 0'!H24:H25)</f>
        <v>3875.625</v>
      </c>
      <c r="R8" s="27">
        <f>SUM('Verdieping 0'!H40:H41)</f>
        <v>150</v>
      </c>
      <c r="S8" s="28">
        <f>SUM('Verdieping 0'!M8:M9)</f>
        <v>1200</v>
      </c>
      <c r="T8" s="19">
        <f>SUM('Verdieping 0'!M24:M25)</f>
        <v>0</v>
      </c>
      <c r="W8" s="9">
        <v>4</v>
      </c>
      <c r="X8" s="18">
        <f>SUM('Verdieping -1'!C8:C9)</f>
        <v>0</v>
      </c>
      <c r="Y8" s="31">
        <f>SUM('Verdieping -1'!C24:C25)</f>
        <v>3200</v>
      </c>
      <c r="Z8" s="32">
        <f>SUM('Verdieping -1'!C40:C41)</f>
        <v>220</v>
      </c>
      <c r="AA8" s="33">
        <f>SUM('Verdieping -1'!H8:H9)</f>
        <v>0</v>
      </c>
      <c r="AB8" s="32">
        <f>SUM('Verdieping -1'!H24:H25)</f>
        <v>0</v>
      </c>
      <c r="AC8" s="32">
        <f>SUM('Verdieping -1'!H40:H41)</f>
        <v>0</v>
      </c>
      <c r="AD8" s="34">
        <f>SUM('Verdieping -1'!M8:M9)</f>
        <v>250</v>
      </c>
      <c r="AE8" s="19">
        <f>SUM('Verdieping -1'!M24:M25)</f>
        <v>0</v>
      </c>
    </row>
    <row r="9" spans="1:32" ht="45" customHeight="1" thickBot="1" x14ac:dyDescent="0.35">
      <c r="A9" s="9">
        <v>3</v>
      </c>
      <c r="B9" s="18">
        <f>SUM('Verdieping 1'!C6:C7)</f>
        <v>0</v>
      </c>
      <c r="C9" s="27">
        <f>SUM('Verdieping 1'!C22:C23)</f>
        <v>0</v>
      </c>
      <c r="D9" s="9">
        <f>SUM('Verdieping 1'!C38:C39)</f>
        <v>0</v>
      </c>
      <c r="E9" s="19">
        <f>SUM('Verdieping 1'!H6:H7)</f>
        <v>0</v>
      </c>
      <c r="F9" s="9">
        <f>SUM('Verdieping 1'!H22:H23)</f>
        <v>0</v>
      </c>
      <c r="G9" s="9">
        <f>SUM('Verdieping 1'!H38:H39)</f>
        <v>0</v>
      </c>
      <c r="H9" s="28">
        <f>SUM('Verdieping 1'!M6:M7)</f>
        <v>562.5</v>
      </c>
      <c r="I9" s="19">
        <f>SUM('Verdieping 1'!M22:M23)</f>
        <v>129.375</v>
      </c>
      <c r="L9" s="9">
        <v>3</v>
      </c>
      <c r="M9" s="18">
        <f>SUM('Verdieping 0'!C6:C7)</f>
        <v>0</v>
      </c>
      <c r="N9" s="27">
        <f>SUM('Verdieping 0'!C22:C23)</f>
        <v>-1540.0000000000002</v>
      </c>
      <c r="O9" s="42">
        <f>SUM('Verdieping 0'!C38:C39)</f>
        <v>2400</v>
      </c>
      <c r="P9" s="42">
        <f>SUM('Verdieping 0'!H6:H7)</f>
        <v>110</v>
      </c>
      <c r="Q9" s="39">
        <f>SUM('Verdieping 0'!H22:H23)</f>
        <v>2000</v>
      </c>
      <c r="R9" s="27">
        <f>SUM('Verdieping 0'!H38:H39)</f>
        <v>700</v>
      </c>
      <c r="S9" s="28">
        <f>SUM('Verdieping 0'!M6:M7)</f>
        <v>1200</v>
      </c>
      <c r="T9" s="19">
        <f>SUM('Verdieping 0'!M22:M23)</f>
        <v>0</v>
      </c>
      <c r="W9" s="9">
        <v>3</v>
      </c>
      <c r="X9" s="18">
        <f>SUM('Verdieping -1'!C6:C7)</f>
        <v>0</v>
      </c>
      <c r="Y9" s="27">
        <f>SUM('Verdieping -1'!C22:C23)</f>
        <v>3250</v>
      </c>
      <c r="Z9" s="9">
        <f>SUM('Verdieping -1'!C38:C39)</f>
        <v>150</v>
      </c>
      <c r="AA9" s="19">
        <f>SUM('Verdieping -1'!H6:H7)</f>
        <v>100</v>
      </c>
      <c r="AB9" s="9">
        <f>SUM('Verdieping -1'!H22:H23)</f>
        <v>250</v>
      </c>
      <c r="AC9" s="9">
        <f>SUM('Verdieping -1'!H38:H39)</f>
        <v>250</v>
      </c>
      <c r="AD9" s="28">
        <f>SUM('Verdieping -1'!M6:M7)</f>
        <v>400</v>
      </c>
      <c r="AE9" s="19">
        <f>SUM('Verdieping -1'!M22:M23)</f>
        <v>0</v>
      </c>
    </row>
    <row r="10" spans="1:32" ht="45" customHeight="1" thickBot="1" x14ac:dyDescent="0.35">
      <c r="A10" s="9">
        <v>2</v>
      </c>
      <c r="B10" s="18">
        <f>SUM('Verdieping 1'!C4:C5)</f>
        <v>100</v>
      </c>
      <c r="C10" s="31">
        <f>SUM('Verdieping 1'!C20:C21)</f>
        <v>0</v>
      </c>
      <c r="D10" s="32">
        <f>SUM('Verdieping 1'!C36:C37)</f>
        <v>0</v>
      </c>
      <c r="E10" s="33">
        <f>SUM('Verdieping 1'!H4:H5)</f>
        <v>0</v>
      </c>
      <c r="F10" s="32">
        <f>SUM('Verdieping 1'!H20:H21)</f>
        <v>0</v>
      </c>
      <c r="G10" s="32">
        <f>SUM('Verdieping 1'!H36:H37)</f>
        <v>0</v>
      </c>
      <c r="H10" s="34">
        <f>SUM('Verdieping 1'!M4:M5)</f>
        <v>700</v>
      </c>
      <c r="I10" s="19">
        <f>SUM('Verdieping 1'!M20:M21)</f>
        <v>129.375</v>
      </c>
      <c r="L10" s="9">
        <v>2</v>
      </c>
      <c r="M10" s="18">
        <f>SUM('Verdieping 0'!C4:C5)</f>
        <v>0</v>
      </c>
      <c r="N10" s="31">
        <f>SUM('Verdieping 0'!C20:C21)</f>
        <v>200</v>
      </c>
      <c r="O10" s="32">
        <f>SUM('Verdieping 0'!C36:C37)</f>
        <v>150</v>
      </c>
      <c r="P10" s="33">
        <f>SUM('Verdieping 0'!H4:H5)</f>
        <v>0</v>
      </c>
      <c r="Q10" s="32">
        <f>SUM('Verdieping 0'!H20:H21)</f>
        <v>260</v>
      </c>
      <c r="R10" s="31">
        <f>SUM('Verdieping 0'!H36:H37)</f>
        <v>2100</v>
      </c>
      <c r="S10" s="34">
        <f>SUM('Verdieping 0'!M4:M5)</f>
        <v>400</v>
      </c>
      <c r="T10" s="19">
        <f>SUM('Verdieping 0'!M20:M21)</f>
        <v>0</v>
      </c>
      <c r="W10" s="9">
        <v>2</v>
      </c>
      <c r="X10" s="18">
        <f>SUM('Verdieping -1'!C4:C5)</f>
        <v>0</v>
      </c>
      <c r="Y10" s="31">
        <f>SUM('Verdieping -1'!C20:C21)</f>
        <v>150</v>
      </c>
      <c r="Z10" s="32">
        <f>SUM('Verdieping -1'!C36:C37)</f>
        <v>20</v>
      </c>
      <c r="AA10" s="33">
        <f>SUM('Verdieping -1'!H4:H5)</f>
        <v>100</v>
      </c>
      <c r="AB10" s="32">
        <f>SUM('Verdieping -1'!H20:H21)</f>
        <v>50</v>
      </c>
      <c r="AC10" s="32">
        <f>SUM('Verdieping -1'!H36:H37)</f>
        <v>1680</v>
      </c>
      <c r="AD10" s="34">
        <f>SUM('Verdieping -1'!M4:M5)</f>
        <v>100</v>
      </c>
      <c r="AE10" s="19">
        <f>SUM('Verdieping -1'!M20:M21)</f>
        <v>0</v>
      </c>
    </row>
    <row r="11" spans="1:32" ht="45" customHeight="1" x14ac:dyDescent="0.3">
      <c r="A11" s="9">
        <v>1</v>
      </c>
      <c r="B11" s="20">
        <f>SUM('Verdieping 1'!C2:C3)</f>
        <v>1100</v>
      </c>
      <c r="C11" s="21">
        <f>SUM('Verdieping 1'!C18:C19)</f>
        <v>0</v>
      </c>
      <c r="D11" s="21">
        <f>SUM('Verdieping 1'!C34:C35)</f>
        <v>1300</v>
      </c>
      <c r="E11" s="22">
        <f>SUM('Verdieping 1'!H2:H3)</f>
        <v>0</v>
      </c>
      <c r="F11" s="21">
        <f>SUM('Verdieping 1'!H18:H19)</f>
        <v>0</v>
      </c>
      <c r="G11" s="21">
        <f>SUM('Verdieping 1'!H34:H35)</f>
        <v>0</v>
      </c>
      <c r="H11" s="21">
        <f>SUM('Verdieping 1'!M2:M3)</f>
        <v>0</v>
      </c>
      <c r="I11" s="22">
        <f>SUM('Verdieping 1'!M18:M19)</f>
        <v>129.375</v>
      </c>
      <c r="L11" s="9">
        <v>1</v>
      </c>
      <c r="M11" s="20">
        <f>SUM('Verdieping 0'!C2:C3)</f>
        <v>0</v>
      </c>
      <c r="N11" s="21">
        <f>SUM('Verdieping 0'!C18:C19)</f>
        <v>0</v>
      </c>
      <c r="O11" s="21">
        <f>SUM('Verdieping 0'!C34:C35)</f>
        <v>0</v>
      </c>
      <c r="P11" s="22">
        <f>SUM('Verdieping 0'!H2:H3)</f>
        <v>0</v>
      </c>
      <c r="Q11" s="21">
        <f>SUM('Verdieping 0'!H18:H19)</f>
        <v>0</v>
      </c>
      <c r="R11" s="21">
        <f>SUM('Verdieping 0'!H34:H35)</f>
        <v>1000</v>
      </c>
      <c r="S11" s="21">
        <f>SUM('Verdieping 0'!M2:M3)</f>
        <v>130</v>
      </c>
      <c r="T11" s="22">
        <f>SUM('Verdieping 0'!M18:M19)</f>
        <v>0</v>
      </c>
      <c r="W11" s="9">
        <v>1</v>
      </c>
      <c r="X11" s="20">
        <f>SUM('Verdieping -1'!C2:C3)</f>
        <v>0</v>
      </c>
      <c r="Y11" s="21">
        <f>SUM('Verdieping -1'!C18:C19)</f>
        <v>0</v>
      </c>
      <c r="Z11" s="21">
        <f>SUM('Verdieping -1'!C34:C35)</f>
        <v>0</v>
      </c>
      <c r="AA11" s="22">
        <f>SUM('Verdieping -1'!H2:H3)</f>
        <v>0</v>
      </c>
      <c r="AB11" s="21">
        <f>SUM('Verdieping -1'!H18:H19)</f>
        <v>0</v>
      </c>
      <c r="AC11" s="21">
        <f>SUM('Verdieping -1'!H34:H35)</f>
        <v>0</v>
      </c>
      <c r="AD11" s="21">
        <f>SUM('Verdieping -1'!M2:M3)</f>
        <v>0</v>
      </c>
      <c r="AE11" s="22">
        <f>SUM('Verdieping -1'!M18:M19)</f>
        <v>0</v>
      </c>
    </row>
    <row r="12" spans="1:32" x14ac:dyDescent="0.3">
      <c r="B12" t="s">
        <v>174</v>
      </c>
      <c r="C12" t="s">
        <v>175</v>
      </c>
      <c r="D12" t="s">
        <v>176</v>
      </c>
      <c r="E12" t="s">
        <v>177</v>
      </c>
      <c r="F12" t="s">
        <v>178</v>
      </c>
      <c r="G12" t="s">
        <v>179</v>
      </c>
      <c r="H12" t="s">
        <v>180</v>
      </c>
      <c r="I12" t="s">
        <v>97</v>
      </c>
      <c r="J12" t="s">
        <v>181</v>
      </c>
      <c r="M12" s="9" t="s">
        <v>174</v>
      </c>
      <c r="N12" s="9" t="s">
        <v>175</v>
      </c>
      <c r="O12" s="9" t="s">
        <v>176</v>
      </c>
      <c r="P12" s="9" t="s">
        <v>177</v>
      </c>
      <c r="Q12" s="9" t="s">
        <v>178</v>
      </c>
      <c r="R12" s="9" t="s">
        <v>179</v>
      </c>
      <c r="S12" s="9" t="s">
        <v>180</v>
      </c>
      <c r="T12" s="9" t="s">
        <v>97</v>
      </c>
      <c r="U12" s="10" t="s">
        <v>181</v>
      </c>
      <c r="X12" s="9" t="s">
        <v>174</v>
      </c>
      <c r="Y12" s="9" t="s">
        <v>175</v>
      </c>
      <c r="Z12" s="9" t="s">
        <v>176</v>
      </c>
      <c r="AA12" s="9" t="s">
        <v>177</v>
      </c>
      <c r="AB12" s="9" t="s">
        <v>178</v>
      </c>
      <c r="AC12" s="9" t="s">
        <v>179</v>
      </c>
      <c r="AD12" s="9" t="s">
        <v>180</v>
      </c>
      <c r="AE12" s="9" t="s">
        <v>97</v>
      </c>
      <c r="AF12" s="10" t="s">
        <v>181</v>
      </c>
    </row>
  </sheetData>
  <phoneticPr fontId="2" type="noConversion"/>
  <conditionalFormatting sqref="B4:I11 M4:T11 X4:AE11">
    <cfRule type="colorScale" priority="1">
      <colorScale>
        <cfvo type="min"/>
        <cfvo type="percentile" val="50"/>
        <cfvo type="max"/>
        <color theme="9" tint="0.39997558519241921"/>
        <color rgb="FFFFEB84"/>
        <color rgb="FFFF6161"/>
      </colorScale>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C7ABC-5C4D-45CF-B17C-4450D6AC5256}">
  <dimension ref="A1:AX60"/>
  <sheetViews>
    <sheetView topLeftCell="AE4" zoomScale="96" workbookViewId="0">
      <selection activeCell="AO10" sqref="AO10"/>
    </sheetView>
  </sheetViews>
  <sheetFormatPr defaultRowHeight="14.4" x14ac:dyDescent="0.3"/>
  <cols>
    <col min="10" max="10" width="1.44140625" bestFit="1" customWidth="1"/>
    <col min="21" max="21" width="1.44140625" bestFit="1" customWidth="1"/>
    <col min="32" max="32" width="1.44140625" bestFit="1" customWidth="1"/>
    <col min="43" max="43" width="1.44140625" bestFit="1" customWidth="1"/>
    <col min="46" max="46" width="15.33203125" bestFit="1" customWidth="1"/>
    <col min="47" max="47" width="26.44140625" bestFit="1" customWidth="1"/>
    <col min="48" max="48" width="21.88671875" bestFit="1" customWidth="1"/>
    <col min="49" max="49" width="15.33203125" bestFit="1" customWidth="1"/>
    <col min="50" max="50" width="14.6640625" bestFit="1" customWidth="1"/>
  </cols>
  <sheetData>
    <row r="1" spans="1:50" x14ac:dyDescent="0.3">
      <c r="A1" t="s">
        <v>182</v>
      </c>
    </row>
    <row r="2" spans="1:50" x14ac:dyDescent="0.3">
      <c r="A2" t="s">
        <v>13</v>
      </c>
      <c r="L2" t="s">
        <v>107</v>
      </c>
      <c r="W2" t="s">
        <v>149</v>
      </c>
      <c r="AH2" t="s">
        <v>183</v>
      </c>
    </row>
    <row r="3" spans="1:50" x14ac:dyDescent="0.3">
      <c r="A3" s="8">
        <v>9</v>
      </c>
      <c r="L3" s="8">
        <v>9</v>
      </c>
      <c r="W3" s="8">
        <v>9</v>
      </c>
      <c r="AH3" s="8">
        <v>9</v>
      </c>
    </row>
    <row r="4" spans="1:50" ht="45" customHeight="1" thickBot="1" x14ac:dyDescent="0.35">
      <c r="A4" s="9">
        <v>8</v>
      </c>
      <c r="B4" s="15">
        <f>SUM('Verdieping 1'!C16:C17)*3.5*3.75</f>
        <v>13125</v>
      </c>
      <c r="C4" s="16">
        <f>SUM('Verdieping 1'!C32:C33)*3.5*3.75</f>
        <v>-2598.21984298179</v>
      </c>
      <c r="D4" s="16">
        <f>SUM('Verdieping 1'!C48:C49)*3.5*3.75</f>
        <v>0</v>
      </c>
      <c r="E4" s="17">
        <f>SUM('Verdieping 1'!H16:H17)*3.5*3.75</f>
        <v>0</v>
      </c>
      <c r="F4" s="16">
        <f>SUM('Verdieping 1'!H32:H33)*3.5*3.75</f>
        <v>0</v>
      </c>
      <c r="G4" s="16">
        <f>SUM('Verdieping 1'!H48:H49)*3.5*3.75</f>
        <v>0</v>
      </c>
      <c r="H4" s="16">
        <f>SUM('Verdieping 1'!M16:M17)*3.5*3.75</f>
        <v>-2598.21984298179</v>
      </c>
      <c r="I4" s="17">
        <f>SUM('Verdieping 1'!M32:M33)*3.5*3.75</f>
        <v>1698.046875</v>
      </c>
      <c r="K4">
        <f>SUM(B4:I7)</f>
        <v>20998.056983447957</v>
      </c>
      <c r="L4" s="9">
        <v>8</v>
      </c>
      <c r="M4" s="15">
        <f>SUM('Verdieping 0'!C16:C17)*3.5*3.75</f>
        <v>0</v>
      </c>
      <c r="N4" s="16">
        <f>SUM('Verdieping 0'!C32:C33)*3.5*3.75</f>
        <v>13125</v>
      </c>
      <c r="O4" s="16">
        <f>SUM('Verdieping 0'!C48:C49)*3.5*3.75</f>
        <v>0</v>
      </c>
      <c r="P4" s="17">
        <f>SUM('Verdieping 0'!H16:H17)*3.5*3.75</f>
        <v>0</v>
      </c>
      <c r="Q4" s="16">
        <f>SUM('Verdieping 0'!H32:H33)*3.5*3.75</f>
        <v>0</v>
      </c>
      <c r="R4" s="16">
        <f>SUM('Verdieping 0'!H48:H49)*3.5*3.75</f>
        <v>0</v>
      </c>
      <c r="S4" s="16">
        <f>SUM('Verdieping 0'!M16:M17)*3.5*3.75</f>
        <v>0</v>
      </c>
      <c r="T4" s="17">
        <f>SUM('Verdieping 0'!M32:M33)*3.5*3.75</f>
        <v>0</v>
      </c>
      <c r="V4">
        <f>SUM(M4:T7)</f>
        <v>44131.283722805943</v>
      </c>
      <c r="W4" s="9">
        <v>8</v>
      </c>
      <c r="X4" s="15">
        <f>SUM('Verdieping -1'!C16:C17)*3.5*3.75</f>
        <v>0</v>
      </c>
      <c r="Y4" s="16">
        <f>SUM('Verdieping -1'!C32:C33)*3.5*3.75</f>
        <v>0</v>
      </c>
      <c r="Z4" s="16">
        <f>SUM('Verdieping -1'!C48:C49)*3.5*3.75</f>
        <v>0</v>
      </c>
      <c r="AA4" s="17">
        <f>SUM('Verdieping -1'!H16:H17)*3.5*3.75</f>
        <v>0</v>
      </c>
      <c r="AB4" s="16">
        <f>SUM('Verdieping -1'!H32:H33)*3.5*3.75</f>
        <v>0</v>
      </c>
      <c r="AC4" s="16">
        <f>SUM('Verdieping -1'!H48:H49)*3.5*3.75</f>
        <v>0</v>
      </c>
      <c r="AD4" s="16">
        <f>SUM('Verdieping -1'!M16:M17)*3.5*3.75</f>
        <v>0</v>
      </c>
      <c r="AE4" s="17">
        <f>SUM('Verdieping -1'!M32:M33)*3.5*3.75</f>
        <v>0</v>
      </c>
      <c r="AG4">
        <f>SUM(X4:AE7)</f>
        <v>75431.41440989812</v>
      </c>
      <c r="AH4" s="9">
        <v>8</v>
      </c>
      <c r="AI4" s="9">
        <f t="shared" ref="AI4:AP11" si="0">SUM(B4,M4,X4)</f>
        <v>13125</v>
      </c>
      <c r="AJ4" s="9">
        <f t="shared" si="0"/>
        <v>10526.780157018209</v>
      </c>
      <c r="AK4" s="9">
        <f t="shared" si="0"/>
        <v>0</v>
      </c>
      <c r="AL4" s="9">
        <f t="shared" si="0"/>
        <v>0</v>
      </c>
      <c r="AM4" s="9">
        <f t="shared" si="0"/>
        <v>0</v>
      </c>
      <c r="AN4" s="9">
        <f t="shared" si="0"/>
        <v>0</v>
      </c>
      <c r="AO4" s="9">
        <f t="shared" si="0"/>
        <v>-2598.21984298179</v>
      </c>
      <c r="AP4" s="9">
        <f t="shared" si="0"/>
        <v>1698.046875</v>
      </c>
    </row>
    <row r="5" spans="1:50" ht="45" customHeight="1" thickBot="1" x14ac:dyDescent="0.35">
      <c r="A5" s="9">
        <v>7</v>
      </c>
      <c r="B5" s="18">
        <f>SUM('Verdieping 1'!C14:C15)*2.5*3.75</f>
        <v>0</v>
      </c>
      <c r="C5" s="23">
        <f>SUM('Verdieping 1'!C30:C31)*2.5*3.75</f>
        <v>0</v>
      </c>
      <c r="D5" s="24">
        <f>SUM('Verdieping 1'!C46:C47)*2.5*3.75</f>
        <v>0</v>
      </c>
      <c r="E5" s="25">
        <f>SUM('Verdieping 1'!H14:H15)*2.5*3.75</f>
        <v>0</v>
      </c>
      <c r="F5" s="24">
        <f>SUM('Verdieping 1'!H30:H31)*2.5*3.75</f>
        <v>0</v>
      </c>
      <c r="G5" s="24">
        <f>SUM('Verdieping 1'!H46:H47)*2.5*3.75</f>
        <v>0</v>
      </c>
      <c r="H5" s="26">
        <f>SUM('Verdieping 1'!M14:M15)*2.5*3.75</f>
        <v>5976.5625</v>
      </c>
      <c r="I5" s="19">
        <f>SUM('Verdieping 1'!M30:M31)*2.5*3.75</f>
        <v>1212.890625</v>
      </c>
      <c r="L5" s="9">
        <v>7</v>
      </c>
      <c r="M5" s="18">
        <f>SUM('Verdieping 0'!C14:C15)*2.5*3.75</f>
        <v>0</v>
      </c>
      <c r="N5" s="44">
        <f>SUM('Verdieping 0'!C30:C31)*2.5*3.75</f>
        <v>-14400</v>
      </c>
      <c r="O5" s="24">
        <f>SUM('Verdieping 0'!C46:C47)*2.5*3.75</f>
        <v>7500</v>
      </c>
      <c r="P5" s="25">
        <f>SUM('Verdieping 0'!H14:H15)*2.5*3.75</f>
        <v>0</v>
      </c>
      <c r="Q5" s="24">
        <f>SUM('Verdieping 0'!H30:H31)*2.5*3.75</f>
        <v>7968.75</v>
      </c>
      <c r="R5" s="39">
        <f>SUM('Verdieping 0'!H46:H47)*2.5*3.75</f>
        <v>1406.25</v>
      </c>
      <c r="S5" s="41">
        <f>SUM('Verdieping 0'!M14:M15)*2.5*3.75</f>
        <v>7968.75</v>
      </c>
      <c r="T5" s="19">
        <f>SUM('Verdieping 0'!M30:M31)*2.5*3.75</f>
        <v>0</v>
      </c>
      <c r="W5" s="9">
        <v>7</v>
      </c>
      <c r="X5" s="18">
        <f>SUM('Verdieping -1'!C14:C15)*2.5*3.75</f>
        <v>0</v>
      </c>
      <c r="Y5" s="23">
        <f>SUM('Verdieping -1'!C30:C31)*2.5*3.75</f>
        <v>33142.08984375</v>
      </c>
      <c r="Z5" s="24">
        <f>SUM('Verdieping -1'!C46:C47)*2.5*3.75</f>
        <v>329.58984375</v>
      </c>
      <c r="AA5" s="25">
        <f>SUM('Verdieping -1'!H14:H15)*2.5*3.75</f>
        <v>329.58984375</v>
      </c>
      <c r="AB5" s="24">
        <f>SUM('Verdieping -1'!H30:H31)*2.5*3.75</f>
        <v>329.58984375</v>
      </c>
      <c r="AC5" s="24">
        <f>SUM('Verdieping -1'!H46:H47)*2.5*3.75</f>
        <v>2204.58984375</v>
      </c>
      <c r="AD5" s="26">
        <f>SUM('Verdieping -1'!M14:M15)*2.5*3.75</f>
        <v>18221.94175364812</v>
      </c>
      <c r="AE5" s="19">
        <f>SUM('Verdieping -1'!M30:M31)*2.5*3.75</f>
        <v>0</v>
      </c>
      <c r="AH5" s="9">
        <v>7</v>
      </c>
      <c r="AI5" s="9">
        <f t="shared" si="0"/>
        <v>0</v>
      </c>
      <c r="AJ5" s="9">
        <f t="shared" si="0"/>
        <v>18742.08984375</v>
      </c>
      <c r="AK5" s="9">
        <f t="shared" si="0"/>
        <v>7829.58984375</v>
      </c>
      <c r="AL5" s="9">
        <f t="shared" si="0"/>
        <v>329.58984375</v>
      </c>
      <c r="AM5" s="9">
        <f t="shared" si="0"/>
        <v>8298.33984375</v>
      </c>
      <c r="AN5" s="9">
        <f t="shared" si="0"/>
        <v>3610.83984375</v>
      </c>
      <c r="AO5" s="9">
        <f t="shared" si="0"/>
        <v>32167.25425364812</v>
      </c>
      <c r="AP5" s="9">
        <f t="shared" si="0"/>
        <v>1212.890625</v>
      </c>
    </row>
    <row r="6" spans="1:50" ht="45" customHeight="1" thickBot="1" x14ac:dyDescent="0.35">
      <c r="A6" s="9">
        <v>6</v>
      </c>
      <c r="B6" s="18">
        <f>SUM('Verdieping 1'!C12:C13)*1.5*3.75</f>
        <v>0</v>
      </c>
      <c r="C6" s="27">
        <f>SUM('Verdieping 1'!C28:C29)*1.5*3.75</f>
        <v>0</v>
      </c>
      <c r="D6" s="9">
        <f>SUM('Verdieping 1'!C44:C45)*1.5*3.75</f>
        <v>0</v>
      </c>
      <c r="E6" s="19">
        <f>SUM('Verdieping 1'!H12:H13)*1.5*3.75</f>
        <v>0</v>
      </c>
      <c r="F6" s="9">
        <f>SUM('Verdieping 1'!H28:H29)*1.5*3.75</f>
        <v>0</v>
      </c>
      <c r="G6" s="9">
        <f>SUM('Verdieping 1'!H44:H45)*1.5*3.75</f>
        <v>0</v>
      </c>
      <c r="H6" s="28">
        <f>SUM('Verdieping 1'!M12:M13)*1.5*3.75</f>
        <v>2882.8125</v>
      </c>
      <c r="I6" s="19">
        <f>SUM('Verdieping 1'!M28:M29)*1.5*3.75</f>
        <v>727.734375</v>
      </c>
      <c r="L6" s="9">
        <v>6</v>
      </c>
      <c r="M6" s="18">
        <f>SUM('Verdieping 0'!C12:C13)*1.5*3.75</f>
        <v>0</v>
      </c>
      <c r="N6" s="45">
        <f>SUM('Verdieping 0'!C28:C29)*1.5*3.75</f>
        <v>-21093.75</v>
      </c>
      <c r="O6" s="9">
        <f>SUM('Verdieping 0'!C44:C45)*1.5*3.75</f>
        <v>168.75</v>
      </c>
      <c r="P6" s="39">
        <f>SUM('Verdieping 0'!H12:H13)*1.5*3.75</f>
        <v>1406.25</v>
      </c>
      <c r="Q6" s="42">
        <f>SUM('Verdieping 0'!H28:H29)*1.5*3.75</f>
        <v>5137.1430978059416</v>
      </c>
      <c r="R6" s="27">
        <f>SUM('Verdieping 0'!H44:H45)*1.5*3.75</f>
        <v>1968.75</v>
      </c>
      <c r="S6" s="28">
        <f>SUM('Verdieping 0'!M12:M13)*1.5*3.75</f>
        <v>4359.375</v>
      </c>
      <c r="T6" s="19">
        <f>SUM('Verdieping 0'!M28:M29)*1.5*3.75</f>
        <v>168.75</v>
      </c>
      <c r="W6" s="9">
        <v>6</v>
      </c>
      <c r="X6" s="18">
        <f>SUM('Verdieping -1'!C12:C13)*1.5*3.75</f>
        <v>0</v>
      </c>
      <c r="Y6" s="27">
        <f>SUM('Verdieping -1'!C28:C29)*1.5*3.75</f>
        <v>1604.00390625</v>
      </c>
      <c r="Z6" s="9">
        <f>SUM('Verdieping -1'!C44:C45)*1.5*3.75</f>
        <v>3572.75390625</v>
      </c>
      <c r="AA6" s="19">
        <f>SUM('Verdieping -1'!H12:H13)*1.5*3.75</f>
        <v>3572.75390625</v>
      </c>
      <c r="AB6" s="9">
        <f>SUM('Verdieping -1'!H28:H29)*1.5*3.75</f>
        <v>3572.75390625</v>
      </c>
      <c r="AC6" s="9">
        <f>SUM('Verdieping -1'!H44:H45)*1.5*3.75</f>
        <v>3572.75390625</v>
      </c>
      <c r="AD6" s="28">
        <f>SUM('Verdieping -1'!M12:M13)*1.5*3.75</f>
        <v>1041.50390625</v>
      </c>
      <c r="AE6" s="19">
        <f>SUM('Verdieping -1'!M28:M29)*1.5*3.75</f>
        <v>0</v>
      </c>
      <c r="AH6" s="9">
        <v>6</v>
      </c>
      <c r="AI6" s="9">
        <f t="shared" si="0"/>
        <v>0</v>
      </c>
      <c r="AJ6" s="9">
        <f t="shared" si="0"/>
        <v>-19489.74609375</v>
      </c>
      <c r="AK6" s="9">
        <f t="shared" si="0"/>
        <v>3741.50390625</v>
      </c>
      <c r="AL6" s="9">
        <f t="shared" si="0"/>
        <v>4979.00390625</v>
      </c>
      <c r="AM6" s="9">
        <f t="shared" si="0"/>
        <v>8709.8970040559416</v>
      </c>
      <c r="AN6" s="9">
        <f t="shared" si="0"/>
        <v>5541.50390625</v>
      </c>
      <c r="AO6" s="9">
        <f t="shared" si="0"/>
        <v>8283.69140625</v>
      </c>
      <c r="AP6" s="9">
        <f t="shared" si="0"/>
        <v>896.484375</v>
      </c>
    </row>
    <row r="7" spans="1:50" ht="45" customHeight="1" thickBot="1" x14ac:dyDescent="0.35">
      <c r="A7" s="9">
        <v>5</v>
      </c>
      <c r="B7" s="20">
        <f>SUM('Verdieping 1'!C10:C11)*0.5*3.75</f>
        <v>0</v>
      </c>
      <c r="C7" s="29">
        <f>SUM('Verdieping 1'!C26:C27)*0.5*3.75</f>
        <v>0</v>
      </c>
      <c r="D7" s="21">
        <f>SUM('Verdieping 1'!C42:C43)*0.5*3.75</f>
        <v>0</v>
      </c>
      <c r="E7" s="22">
        <f>SUM('Verdieping 1'!H10:H11)*0.5*3.75</f>
        <v>0</v>
      </c>
      <c r="F7" s="21">
        <f>SUM('Verdieping 1'!H26:H27)*0.5*3.75</f>
        <v>0</v>
      </c>
      <c r="G7" s="21">
        <f>SUM('Verdieping 1'!H42:H43)*0.5*3.75</f>
        <v>0</v>
      </c>
      <c r="H7" s="30">
        <f>SUM('Verdieping 1'!M10:M11)*0.5*3.75</f>
        <v>93.75</v>
      </c>
      <c r="I7" s="22">
        <f>SUM('Verdieping 1'!M26:M27)*0.5*3.75</f>
        <v>477.69979441154067</v>
      </c>
      <c r="L7" s="9">
        <v>5</v>
      </c>
      <c r="M7" s="20">
        <f>SUM('Verdieping 0'!C10:C11)*0.5*3.75</f>
        <v>0</v>
      </c>
      <c r="N7" s="29">
        <f>SUM('Verdieping 0'!C26:C27)*0.5*3.75</f>
        <v>375</v>
      </c>
      <c r="O7" s="39">
        <f>SUM('Verdieping 0'!C42:C43)*0.5*3.75</f>
        <v>6873.046875</v>
      </c>
      <c r="P7" s="40">
        <f>SUM('Verdieping 0'!H10:H11)*0.5*3.75</f>
        <v>6966.796875</v>
      </c>
      <c r="Q7" s="46">
        <f>SUM('Verdieping 0'!H26:H27)*0.5*3.75</f>
        <v>7154.296875</v>
      </c>
      <c r="R7" s="29">
        <f>SUM('Verdieping 0'!H42:H43)*0.5*3.75</f>
        <v>0</v>
      </c>
      <c r="S7" s="30">
        <f>SUM('Verdieping 0'!M10:M11)*0.5*3.75</f>
        <v>6937.5</v>
      </c>
      <c r="T7" s="22">
        <f>SUM('Verdieping 0'!M26:M27)*0.5*3.75</f>
        <v>140.625</v>
      </c>
      <c r="W7" s="9">
        <v>5</v>
      </c>
      <c r="X7" s="20">
        <f>SUM('Verdieping -1'!C10:C11)*0.5*3.75</f>
        <v>0</v>
      </c>
      <c r="Y7" s="35">
        <f>SUM('Verdieping -1'!C26:C27)*0.5*3.75</f>
        <v>750</v>
      </c>
      <c r="Z7" s="36">
        <f>SUM('Verdieping -1'!C42:C43)*0.5*3.75</f>
        <v>656.25</v>
      </c>
      <c r="AA7" s="37">
        <f>SUM('Verdieping -1'!H10:H11)*0.5*3.75</f>
        <v>468.75</v>
      </c>
      <c r="AB7" s="36">
        <f>SUM('Verdieping -1'!H26:H27)*0.5*3.75</f>
        <v>937.5</v>
      </c>
      <c r="AC7" s="36">
        <f>SUM('Verdieping -1'!H42:H43)*0.5*3.75</f>
        <v>187.5</v>
      </c>
      <c r="AD7" s="38">
        <f>SUM('Verdieping -1'!M10:M11)*0.5*3.75</f>
        <v>937.5</v>
      </c>
      <c r="AE7" s="22">
        <f>SUM('Verdieping -1'!M26:M27)*0.5*3.75</f>
        <v>0</v>
      </c>
      <c r="AH7" s="9">
        <v>5</v>
      </c>
      <c r="AI7" s="9">
        <f t="shared" si="0"/>
        <v>0</v>
      </c>
      <c r="AJ7" s="9">
        <f t="shared" si="0"/>
        <v>1125</v>
      </c>
      <c r="AK7" s="9">
        <f t="shared" si="0"/>
        <v>7529.296875</v>
      </c>
      <c r="AL7" s="9">
        <f t="shared" si="0"/>
        <v>7435.546875</v>
      </c>
      <c r="AM7" s="9">
        <f t="shared" si="0"/>
        <v>8091.796875</v>
      </c>
      <c r="AN7" s="9">
        <f t="shared" si="0"/>
        <v>187.5</v>
      </c>
      <c r="AO7" s="9">
        <f t="shared" si="0"/>
        <v>7968.75</v>
      </c>
      <c r="AP7" s="9">
        <f t="shared" si="0"/>
        <v>618.32479441154067</v>
      </c>
    </row>
    <row r="8" spans="1:50" ht="45" customHeight="1" thickBot="1" x14ac:dyDescent="0.35">
      <c r="A8" s="9">
        <v>4</v>
      </c>
      <c r="B8" s="18">
        <f>SUM('Verdieping 1'!C8:C9)*0.5*3.75</f>
        <v>0</v>
      </c>
      <c r="C8" s="27">
        <f>SUM('Verdieping 1'!C24:C25)*0.5*3.75</f>
        <v>0</v>
      </c>
      <c r="D8" s="9">
        <f>SUM('Verdieping 1'!C40:C41)*0.5*3.75</f>
        <v>0</v>
      </c>
      <c r="E8" s="19">
        <f>SUM('Verdieping 1'!H8:H9)*0.5*3.75</f>
        <v>0</v>
      </c>
      <c r="F8" s="9">
        <f>SUM('Verdieping 1'!H24:H25)*0.5*3.75</f>
        <v>0</v>
      </c>
      <c r="G8" s="9">
        <f>SUM('Verdieping 1'!H40:H41)*0.5*3.75</f>
        <v>34875</v>
      </c>
      <c r="H8" s="28">
        <f>SUM('Verdieping 1'!M8:M9)*0.5*3.75</f>
        <v>93.75</v>
      </c>
      <c r="I8" s="19">
        <f>SUM('Verdieping 1'!M24:M25)*0.5*3.75</f>
        <v>383.203125</v>
      </c>
      <c r="L8" s="9">
        <v>4</v>
      </c>
      <c r="M8" s="18">
        <f>SUM('Verdieping 0'!C8:C9)*0.5*3.75</f>
        <v>0</v>
      </c>
      <c r="N8" s="27">
        <f>SUM('Verdieping 0'!C24:C25)*0.5*3.75</f>
        <v>-2887.5000000000005</v>
      </c>
      <c r="O8" s="42">
        <f>SUM('Verdieping 0'!C40:C41)*0.5*3.75</f>
        <v>6779.296875</v>
      </c>
      <c r="P8" s="43">
        <f>SUM('Verdieping 0'!H8:H9)*0.5*3.75</f>
        <v>7041.796875</v>
      </c>
      <c r="Q8" s="46">
        <f>SUM('Verdieping 0'!H24:H25)*0.5*3.75</f>
        <v>7266.796875</v>
      </c>
      <c r="R8" s="27">
        <f>SUM('Verdieping 0'!H40:H41)*0.5*3.75</f>
        <v>281.25</v>
      </c>
      <c r="S8" s="28">
        <f>SUM('Verdieping 0'!M8:M9)*0.5*3.75</f>
        <v>2250</v>
      </c>
      <c r="T8" s="19">
        <f>SUM('Verdieping 0'!M24:M25)*0.5*3.75</f>
        <v>0</v>
      </c>
      <c r="W8" s="9">
        <v>4</v>
      </c>
      <c r="X8" s="18">
        <f>SUM('Verdieping -1'!C8:C9)*0.5*3.75</f>
        <v>0</v>
      </c>
      <c r="Y8" s="31">
        <f>SUM('Verdieping -1'!C24:C25)*0.5*3.75</f>
        <v>6000</v>
      </c>
      <c r="Z8" s="32">
        <f>SUM('Verdieping -1'!C40:C41)*0.5*3.75</f>
        <v>412.5</v>
      </c>
      <c r="AA8" s="33">
        <f>SUM('Verdieping -1'!H8:H9)*0.5*3.75</f>
        <v>0</v>
      </c>
      <c r="AB8" s="32">
        <f>SUM('Verdieping -1'!H24:H25)*0.5*3.75</f>
        <v>0</v>
      </c>
      <c r="AC8" s="32">
        <f>SUM('Verdieping -1'!H40:H41)*0.5*3.75</f>
        <v>0</v>
      </c>
      <c r="AD8" s="34">
        <f>SUM('Verdieping -1'!M8:M9)*0.5*3.75</f>
        <v>468.75</v>
      </c>
      <c r="AE8" s="19">
        <f>SUM('Verdieping -1'!M24:M25)*0.5*3.75</f>
        <v>0</v>
      </c>
      <c r="AH8" s="9">
        <v>4</v>
      </c>
      <c r="AI8" s="16">
        <f t="shared" si="0"/>
        <v>0</v>
      </c>
      <c r="AJ8" s="16">
        <f t="shared" si="0"/>
        <v>3112.4999999999995</v>
      </c>
      <c r="AK8" s="16">
        <f t="shared" si="0"/>
        <v>7191.796875</v>
      </c>
      <c r="AL8" s="16">
        <f t="shared" si="0"/>
        <v>7041.796875</v>
      </c>
      <c r="AM8" s="16">
        <f t="shared" si="0"/>
        <v>7266.796875</v>
      </c>
      <c r="AN8" s="16">
        <f t="shared" si="0"/>
        <v>35156.25</v>
      </c>
      <c r="AO8" s="16">
        <f t="shared" si="0"/>
        <v>2812.5</v>
      </c>
      <c r="AP8" s="16">
        <f t="shared" si="0"/>
        <v>383.203125</v>
      </c>
    </row>
    <row r="9" spans="1:50" ht="45" customHeight="1" thickBot="1" x14ac:dyDescent="0.35">
      <c r="A9" s="9">
        <v>3</v>
      </c>
      <c r="B9" s="18">
        <f>SUM('Verdieping 1'!C6:C7)*1.5*3.75</f>
        <v>0</v>
      </c>
      <c r="C9" s="27">
        <f>SUM('Verdieping 1'!C22:C23)*1.5*3.75</f>
        <v>0</v>
      </c>
      <c r="D9" s="9">
        <f>SUM('Verdieping 1'!C38:C39)*1.5*3.75</f>
        <v>0</v>
      </c>
      <c r="E9" s="19">
        <f>SUM('Verdieping 1'!H6:H7)*1.5*3.75</f>
        <v>0</v>
      </c>
      <c r="F9" s="9">
        <f>SUM('Verdieping 1'!H22:H23)*1.5*3.75</f>
        <v>0</v>
      </c>
      <c r="G9" s="9">
        <f>SUM('Verdieping 1'!H38:H39)*1.5*3.75</f>
        <v>0</v>
      </c>
      <c r="H9" s="28">
        <f>SUM('Verdieping 1'!M6:M7)*1.5*3.75</f>
        <v>3164.0625</v>
      </c>
      <c r="I9" s="19">
        <f>SUM('Verdieping 1'!M22:M23)*1.5*3.75</f>
        <v>727.734375</v>
      </c>
      <c r="L9" s="9">
        <v>3</v>
      </c>
      <c r="M9" s="18">
        <f>SUM('Verdieping 0'!C6:C7)*1.5*3.75</f>
        <v>0</v>
      </c>
      <c r="N9" s="27">
        <f>SUM('Verdieping 0'!C22:C23)*1.5*3.75</f>
        <v>-8662.5000000000018</v>
      </c>
      <c r="O9" s="42">
        <f>SUM('Verdieping 0'!C38:C39)*1.5*3.75</f>
        <v>13500</v>
      </c>
      <c r="P9" s="42">
        <f>SUM('Verdieping 0'!H6:H7)*1.5*3.75</f>
        <v>618.75</v>
      </c>
      <c r="Q9" s="39">
        <f>SUM('Verdieping 0'!H22:H23)*1.5*3.75</f>
        <v>11250</v>
      </c>
      <c r="R9" s="27">
        <f>SUM('Verdieping 0'!H38:H39)*1.5*3.75</f>
        <v>3937.5</v>
      </c>
      <c r="S9" s="28">
        <f>SUM('Verdieping 0'!M6:M7)*1.5*3.75</f>
        <v>6750</v>
      </c>
      <c r="T9" s="19">
        <f>SUM('Verdieping 0'!M22:M23)*1.5*3.75</f>
        <v>0</v>
      </c>
      <c r="W9" s="9">
        <v>3</v>
      </c>
      <c r="X9" s="18">
        <f>SUM('Verdieping -1'!C6:C7)*1.5*3.75</f>
        <v>0</v>
      </c>
      <c r="Y9" s="27">
        <f>SUM('Verdieping -1'!C22:C23)*1.5*3.75</f>
        <v>18281.25</v>
      </c>
      <c r="Z9" s="9">
        <f>SUM('Verdieping -1'!C38:C39)*1.5*3.75</f>
        <v>843.75</v>
      </c>
      <c r="AA9" s="19">
        <f>SUM('Verdieping -1'!H6:H7)*1.5*3.75</f>
        <v>562.5</v>
      </c>
      <c r="AB9" s="9">
        <f>SUM('Verdieping -1'!H22:H23)*1.5*3.75</f>
        <v>1406.25</v>
      </c>
      <c r="AC9" s="9">
        <f>SUM('Verdieping -1'!H38:H39)*1.5*3.75</f>
        <v>1406.25</v>
      </c>
      <c r="AD9" s="28">
        <f>SUM('Verdieping -1'!M6:M7)*1.5*3.75</f>
        <v>2250</v>
      </c>
      <c r="AE9" s="19">
        <f>SUM('Verdieping -1'!M22:M23)*1.5*3.75</f>
        <v>0</v>
      </c>
      <c r="AH9" s="9">
        <v>3</v>
      </c>
      <c r="AI9" s="9">
        <f t="shared" si="0"/>
        <v>0</v>
      </c>
      <c r="AJ9" s="9">
        <f t="shared" si="0"/>
        <v>9618.7499999999982</v>
      </c>
      <c r="AK9" s="9">
        <f t="shared" si="0"/>
        <v>14343.75</v>
      </c>
      <c r="AL9" s="9">
        <f t="shared" si="0"/>
        <v>1181.25</v>
      </c>
      <c r="AM9" s="9">
        <f t="shared" si="0"/>
        <v>12656.25</v>
      </c>
      <c r="AN9" s="9">
        <f t="shared" si="0"/>
        <v>5343.75</v>
      </c>
      <c r="AO9" s="9">
        <f t="shared" si="0"/>
        <v>12164.0625</v>
      </c>
      <c r="AP9" s="9">
        <f t="shared" si="0"/>
        <v>727.734375</v>
      </c>
    </row>
    <row r="10" spans="1:50" ht="45" customHeight="1" thickBot="1" x14ac:dyDescent="0.35">
      <c r="A10" s="9">
        <v>2</v>
      </c>
      <c r="B10" s="18">
        <f>SUM('Verdieping 1'!C4:C5)*2.5*3.75</f>
        <v>937.5</v>
      </c>
      <c r="C10" s="31">
        <f>SUM('Verdieping 1'!C20:C21)*2.5*3.75</f>
        <v>0</v>
      </c>
      <c r="D10" s="32">
        <f>SUM('Verdieping 1'!C36:C37)*2.5*3.75</f>
        <v>0</v>
      </c>
      <c r="E10" s="33">
        <f>SUM('Verdieping 1'!H4:H5)*2.5*3.75</f>
        <v>0</v>
      </c>
      <c r="F10" s="32">
        <f>SUM('Verdieping 1'!H20:H21)*2.5*3.75</f>
        <v>0</v>
      </c>
      <c r="G10" s="32">
        <f>SUM('Verdieping 1'!H36:H37)*2.5*3.75</f>
        <v>0</v>
      </c>
      <c r="H10" s="34">
        <f>SUM('Verdieping 1'!M4:M5)*2.5*3.75</f>
        <v>6562.5</v>
      </c>
      <c r="I10" s="19">
        <f>SUM('Verdieping 1'!M20:M21)*2.5*3.75</f>
        <v>1212.890625</v>
      </c>
      <c r="L10" s="9">
        <v>2</v>
      </c>
      <c r="M10" s="18">
        <f>SUM('Verdieping 0'!C4:C5)*2.5*3.75</f>
        <v>0</v>
      </c>
      <c r="N10" s="31">
        <f>SUM('Verdieping 0'!C20:C21)*2.5*3.75</f>
        <v>1875</v>
      </c>
      <c r="O10" s="32">
        <f>SUM('Verdieping 0'!C36:C37)*2.5*3.75</f>
        <v>1406.25</v>
      </c>
      <c r="P10" s="33">
        <f>SUM('Verdieping 0'!H4:H5)*2.5*3.75</f>
        <v>0</v>
      </c>
      <c r="Q10" s="32">
        <f>SUM('Verdieping 0'!H20:H21)*2.5*3.75</f>
        <v>2437.5</v>
      </c>
      <c r="R10" s="31">
        <f>SUM('Verdieping 0'!H36:H37)*2.5*3.75</f>
        <v>19687.5</v>
      </c>
      <c r="S10" s="34">
        <f>SUM('Verdieping 0'!M4:M5)*2.5*3.75</f>
        <v>3750</v>
      </c>
      <c r="T10" s="19">
        <f>SUM('Verdieping 0'!M20:M21)*2.5*3.75</f>
        <v>0</v>
      </c>
      <c r="W10" s="9">
        <v>2</v>
      </c>
      <c r="X10" s="18">
        <f>SUM('Verdieping -1'!C4:C5)*2.5*3.75</f>
        <v>0</v>
      </c>
      <c r="Y10" s="31">
        <f>SUM('Verdieping -1'!C20:C21)*2.5*3.75</f>
        <v>1406.25</v>
      </c>
      <c r="Z10" s="32">
        <f>SUM('Verdieping -1'!C36:C37)*2.5*3.75</f>
        <v>187.5</v>
      </c>
      <c r="AA10" s="33">
        <f>SUM('Verdieping -1'!H4:H5)*2.5*3.75</f>
        <v>937.5</v>
      </c>
      <c r="AB10" s="32">
        <f>SUM('Verdieping -1'!H20:H21)*2.5*3.75</f>
        <v>468.75</v>
      </c>
      <c r="AC10" s="32">
        <f>SUM('Verdieping -1'!H36:H37)*2.5*3.75</f>
        <v>15750</v>
      </c>
      <c r="AD10" s="34">
        <f>SUM('Verdieping -1'!M4:M5)*2.5*3.75</f>
        <v>937.5</v>
      </c>
      <c r="AE10" s="19">
        <f>SUM('Verdieping -1'!M20:M21)*2.5*3.75</f>
        <v>0</v>
      </c>
      <c r="AH10" s="9">
        <v>2</v>
      </c>
      <c r="AI10" s="9">
        <f t="shared" si="0"/>
        <v>937.5</v>
      </c>
      <c r="AJ10" s="9">
        <f t="shared" si="0"/>
        <v>3281.25</v>
      </c>
      <c r="AK10" s="9">
        <f t="shared" si="0"/>
        <v>1593.75</v>
      </c>
      <c r="AL10" s="9">
        <f t="shared" si="0"/>
        <v>937.5</v>
      </c>
      <c r="AM10" s="9">
        <f t="shared" si="0"/>
        <v>2906.25</v>
      </c>
      <c r="AN10" s="9">
        <f t="shared" si="0"/>
        <v>35437.5</v>
      </c>
      <c r="AO10" s="9">
        <f t="shared" si="0"/>
        <v>11250</v>
      </c>
      <c r="AP10" s="9">
        <f t="shared" si="0"/>
        <v>1212.890625</v>
      </c>
    </row>
    <row r="11" spans="1:50" ht="45" customHeight="1" x14ac:dyDescent="0.3">
      <c r="A11" s="9">
        <v>1</v>
      </c>
      <c r="B11" s="20">
        <f>SUM('Verdieping 1'!C2:C3)*3.5*3.75</f>
        <v>14437.5</v>
      </c>
      <c r="C11" s="21">
        <f>SUM('Verdieping 1'!C18:C19)*3.5*3.75</f>
        <v>0</v>
      </c>
      <c r="D11" s="21">
        <f>SUM('Verdieping 1'!C34:C35)*3.5*3.75</f>
        <v>17062.5</v>
      </c>
      <c r="E11" s="22">
        <f>SUM('Verdieping 1'!H2:H3)*3.5*3.75</f>
        <v>0</v>
      </c>
      <c r="F11" s="21">
        <f>SUM('Verdieping 1'!H18:H19)*3.5*3.75</f>
        <v>0</v>
      </c>
      <c r="G11" s="21">
        <f>SUM('Verdieping 1'!H34:H35)*3.5*3.75</f>
        <v>0</v>
      </c>
      <c r="H11" s="21">
        <f>SUM('Verdieping 1'!M2:M3)*3.5*3.75</f>
        <v>0</v>
      </c>
      <c r="I11" s="22">
        <f>SUM('Verdieping 1'!M18:M19)*3.5*3.75</f>
        <v>1698.046875</v>
      </c>
      <c r="K11">
        <f>SUM(B8:I11)</f>
        <v>81154.6875</v>
      </c>
      <c r="L11" s="9">
        <v>1</v>
      </c>
      <c r="M11" s="20">
        <f>SUM('Verdieping 0'!C2:C3)*3.5*3.75</f>
        <v>0</v>
      </c>
      <c r="N11" s="21">
        <f>SUM('Verdieping 0'!C18:C19)*3.5*3.75</f>
        <v>0</v>
      </c>
      <c r="O11" s="21">
        <f>SUM('Verdieping 0'!C34:C35)*3.5*3.75</f>
        <v>0</v>
      </c>
      <c r="P11" s="22">
        <f>SUM('Verdieping 0'!H2:H3)*3.5*3.75</f>
        <v>0</v>
      </c>
      <c r="Q11" s="21">
        <f>SUM('Verdieping 0'!H18:H19)*3.5*3.75</f>
        <v>0</v>
      </c>
      <c r="R11" s="21">
        <f>SUM('Verdieping 0'!H34:H35)*3.5*3.75</f>
        <v>13125</v>
      </c>
      <c r="S11" s="21">
        <f>SUM('Verdieping 0'!M2:M3)*3.5*3.75</f>
        <v>1706.25</v>
      </c>
      <c r="T11" s="22">
        <f>SUM('Verdieping 0'!M18:M19)*3.5*3.75</f>
        <v>0</v>
      </c>
      <c r="V11">
        <f>SUM(M8:T11)</f>
        <v>92112.890625</v>
      </c>
      <c r="W11" s="9">
        <v>1</v>
      </c>
      <c r="X11" s="20">
        <f>SUM('Verdieping -1'!C2:C3)*3.5*3.75</f>
        <v>0</v>
      </c>
      <c r="Y11" s="21">
        <f>SUM('Verdieping -1'!C18:C19)*3.5*3.75</f>
        <v>0</v>
      </c>
      <c r="Z11" s="21">
        <f>SUM('Verdieping -1'!C34:C35)*3.5*3.75</f>
        <v>0</v>
      </c>
      <c r="AA11" s="22">
        <f>SUM('Verdieping -1'!H2:H3)*3.5*3.75</f>
        <v>0</v>
      </c>
      <c r="AB11" s="21">
        <f>SUM('Verdieping -1'!H18:H19)*3.5*3.75</f>
        <v>0</v>
      </c>
      <c r="AC11" s="21">
        <f>SUM('Verdieping -1'!H34:H35)*3.5*3.75</f>
        <v>0</v>
      </c>
      <c r="AD11" s="21">
        <f>SUM('Verdieping -1'!M2:M3)*3.5*3.75</f>
        <v>0</v>
      </c>
      <c r="AE11" s="22">
        <f>SUM('Verdieping -1'!M18:M19)*3.5*3.75</f>
        <v>0</v>
      </c>
      <c r="AG11">
        <f>SUM(X8:AE11)</f>
        <v>51318.75</v>
      </c>
      <c r="AH11" s="9">
        <v>1</v>
      </c>
      <c r="AI11" s="9">
        <f t="shared" si="0"/>
        <v>14437.5</v>
      </c>
      <c r="AJ11" s="9">
        <f t="shared" si="0"/>
        <v>0</v>
      </c>
      <c r="AK11" s="9">
        <f t="shared" si="0"/>
        <v>17062.5</v>
      </c>
      <c r="AL11" s="9">
        <f t="shared" si="0"/>
        <v>0</v>
      </c>
      <c r="AM11" s="9">
        <f t="shared" si="0"/>
        <v>0</v>
      </c>
      <c r="AN11" s="9">
        <f t="shared" si="0"/>
        <v>13125</v>
      </c>
      <c r="AO11" s="9">
        <f t="shared" si="0"/>
        <v>1706.25</v>
      </c>
      <c r="AP11" s="9">
        <f t="shared" si="0"/>
        <v>1698.046875</v>
      </c>
    </row>
    <row r="12" spans="1:50" x14ac:dyDescent="0.3">
      <c r="B12" s="47" t="s">
        <v>174</v>
      </c>
      <c r="C12" s="47" t="s">
        <v>175</v>
      </c>
      <c r="D12" s="47" t="s">
        <v>176</v>
      </c>
      <c r="E12" s="47" t="s">
        <v>177</v>
      </c>
      <c r="F12" s="47" t="s">
        <v>178</v>
      </c>
      <c r="G12" s="47" t="s">
        <v>179</v>
      </c>
      <c r="H12" s="47" t="s">
        <v>180</v>
      </c>
      <c r="I12" s="47" t="s">
        <v>97</v>
      </c>
      <c r="J12" t="s">
        <v>181</v>
      </c>
      <c r="M12" s="9" t="s">
        <v>174</v>
      </c>
      <c r="N12" s="9" t="s">
        <v>175</v>
      </c>
      <c r="O12" s="9" t="s">
        <v>176</v>
      </c>
      <c r="P12" s="9" t="s">
        <v>177</v>
      </c>
      <c r="Q12" s="9" t="s">
        <v>178</v>
      </c>
      <c r="R12" s="9" t="s">
        <v>179</v>
      </c>
      <c r="S12" s="9" t="s">
        <v>180</v>
      </c>
      <c r="T12" s="9" t="s">
        <v>97</v>
      </c>
      <c r="U12" s="10" t="s">
        <v>181</v>
      </c>
      <c r="X12" s="9" t="s">
        <v>174</v>
      </c>
      <c r="Y12" s="9" t="s">
        <v>175</v>
      </c>
      <c r="Z12" s="9" t="s">
        <v>176</v>
      </c>
      <c r="AA12" s="9" t="s">
        <v>177</v>
      </c>
      <c r="AB12" s="9" t="s">
        <v>178</v>
      </c>
      <c r="AC12" s="9" t="s">
        <v>179</v>
      </c>
      <c r="AD12" s="9" t="s">
        <v>180</v>
      </c>
      <c r="AE12" s="9" t="s">
        <v>97</v>
      </c>
      <c r="AF12" s="10" t="s">
        <v>181</v>
      </c>
      <c r="AI12" s="9" t="s">
        <v>174</v>
      </c>
      <c r="AJ12" s="9" t="s">
        <v>175</v>
      </c>
      <c r="AK12" s="9" t="s">
        <v>176</v>
      </c>
      <c r="AL12" s="9" t="s">
        <v>177</v>
      </c>
      <c r="AM12" s="9" t="s">
        <v>178</v>
      </c>
      <c r="AN12" s="9" t="s">
        <v>179</v>
      </c>
      <c r="AO12" s="9" t="s">
        <v>180</v>
      </c>
      <c r="AP12" s="9" t="s">
        <v>97</v>
      </c>
      <c r="AQ12" s="10" t="s">
        <v>181</v>
      </c>
      <c r="AX12" t="s">
        <v>212</v>
      </c>
    </row>
    <row r="13" spans="1:50" x14ac:dyDescent="0.3">
      <c r="AR13" t="s">
        <v>210</v>
      </c>
      <c r="AT13" t="s">
        <v>213</v>
      </c>
      <c r="AU13" t="s">
        <v>205</v>
      </c>
      <c r="AV13" t="s">
        <v>200</v>
      </c>
      <c r="AW13" t="s">
        <v>207</v>
      </c>
      <c r="AX13" t="s">
        <v>206</v>
      </c>
    </row>
    <row r="14" spans="1:50" x14ac:dyDescent="0.3">
      <c r="AO14" s="13" t="s">
        <v>184</v>
      </c>
      <c r="AP14">
        <f>SUM(K4,V4,AG4)</f>
        <v>140560.75511615202</v>
      </c>
      <c r="AR14" s="50">
        <f>AP14*AO$21</f>
        <v>1378430.1291598121</v>
      </c>
      <c r="AT14" s="13">
        <f>ABS(AR$16)</f>
        <v>824009.38554721896</v>
      </c>
      <c r="AU14">
        <v>1</v>
      </c>
      <c r="AV14">
        <v>997</v>
      </c>
      <c r="AW14">
        <v>9.81</v>
      </c>
      <c r="AX14">
        <f>AT14/(AW14*AV14*AU14)</f>
        <v>84.249628145110051</v>
      </c>
    </row>
    <row r="15" spans="1:50" x14ac:dyDescent="0.3">
      <c r="AO15" s="13" t="s">
        <v>185</v>
      </c>
      <c r="AP15">
        <f>SUM(K11,V11,AG11)</f>
        <v>224586.328125</v>
      </c>
      <c r="AR15" s="51">
        <f>AP15*AO$21</f>
        <v>2202439.5147070312</v>
      </c>
      <c r="AT15" s="13">
        <f t="shared" ref="AT15:AT28" si="1">ABS(AR$16)</f>
        <v>824009.38554721896</v>
      </c>
      <c r="AU15">
        <f>AU14+1</f>
        <v>2</v>
      </c>
      <c r="AV15">
        <v>997</v>
      </c>
      <c r="AW15">
        <v>9.81</v>
      </c>
      <c r="AX15">
        <f t="shared" ref="AX15:AX28" si="2">AT15/(AW15*AV15*AU15)</f>
        <v>42.124814072555026</v>
      </c>
    </row>
    <row r="16" spans="1:50" x14ac:dyDescent="0.3">
      <c r="AO16" s="13" t="s">
        <v>186</v>
      </c>
      <c r="AP16" s="1">
        <f>AP14-AP15</f>
        <v>-84025.573008847976</v>
      </c>
      <c r="AR16" s="50">
        <f>AP16*AO$21</f>
        <v>-824009.38554721896</v>
      </c>
      <c r="AT16" s="13">
        <f t="shared" si="1"/>
        <v>824009.38554721896</v>
      </c>
      <c r="AU16">
        <f t="shared" ref="AU16:AU28" si="3">AU15+1</f>
        <v>3</v>
      </c>
      <c r="AV16">
        <v>997</v>
      </c>
      <c r="AW16">
        <v>9.81</v>
      </c>
      <c r="AX16">
        <f t="shared" si="2"/>
        <v>28.083209381703348</v>
      </c>
    </row>
    <row r="17" spans="39:50" x14ac:dyDescent="0.3">
      <c r="AO17" s="13" t="s">
        <v>187</v>
      </c>
      <c r="AT17" s="13">
        <f t="shared" si="1"/>
        <v>824009.38554721896</v>
      </c>
      <c r="AU17">
        <f t="shared" si="3"/>
        <v>4</v>
      </c>
      <c r="AV17">
        <v>997</v>
      </c>
      <c r="AW17">
        <v>9.81</v>
      </c>
      <c r="AX17">
        <f t="shared" si="2"/>
        <v>21.062407036277513</v>
      </c>
    </row>
    <row r="18" spans="39:50" x14ac:dyDescent="0.3">
      <c r="AT18" s="13">
        <f t="shared" si="1"/>
        <v>824009.38554721896</v>
      </c>
      <c r="AU18">
        <f t="shared" si="3"/>
        <v>5</v>
      </c>
      <c r="AV18">
        <v>997</v>
      </c>
      <c r="AW18">
        <v>9.81</v>
      </c>
      <c r="AX18">
        <f t="shared" si="2"/>
        <v>16.84992562902201</v>
      </c>
    </row>
    <row r="19" spans="39:50" x14ac:dyDescent="0.3">
      <c r="AO19" s="13"/>
      <c r="AT19" s="13">
        <f t="shared" si="1"/>
        <v>824009.38554721896</v>
      </c>
      <c r="AU19">
        <f t="shared" si="3"/>
        <v>6</v>
      </c>
      <c r="AV19">
        <v>997</v>
      </c>
      <c r="AW19">
        <v>9.81</v>
      </c>
      <c r="AX19">
        <f t="shared" si="2"/>
        <v>14.041604690851674</v>
      </c>
    </row>
    <row r="20" spans="39:50" x14ac:dyDescent="0.3">
      <c r="AO20" s="13" t="s">
        <v>211</v>
      </c>
      <c r="AT20" s="13">
        <f t="shared" si="1"/>
        <v>824009.38554721896</v>
      </c>
      <c r="AU20">
        <f t="shared" si="3"/>
        <v>7</v>
      </c>
      <c r="AV20">
        <v>997</v>
      </c>
      <c r="AW20">
        <v>9.81</v>
      </c>
      <c r="AX20">
        <f t="shared" si="2"/>
        <v>12.03566116358715</v>
      </c>
    </row>
    <row r="21" spans="39:50" x14ac:dyDescent="0.3">
      <c r="AO21" s="53">
        <v>9.8066499999999994</v>
      </c>
      <c r="AT21" s="13">
        <f t="shared" si="1"/>
        <v>824009.38554721896</v>
      </c>
      <c r="AU21">
        <f t="shared" si="3"/>
        <v>8</v>
      </c>
      <c r="AV21">
        <v>997</v>
      </c>
      <c r="AW21">
        <v>9.81</v>
      </c>
      <c r="AX21">
        <f t="shared" si="2"/>
        <v>10.531203518138756</v>
      </c>
    </row>
    <row r="22" spans="39:50" x14ac:dyDescent="0.3">
      <c r="AT22" s="13">
        <f t="shared" si="1"/>
        <v>824009.38554721896</v>
      </c>
      <c r="AU22">
        <f t="shared" si="3"/>
        <v>9</v>
      </c>
      <c r="AV22">
        <v>997</v>
      </c>
      <c r="AW22">
        <v>9.81</v>
      </c>
      <c r="AX22">
        <f t="shared" si="2"/>
        <v>9.361069793901116</v>
      </c>
    </row>
    <row r="23" spans="39:50" x14ac:dyDescent="0.3">
      <c r="AM23" t="s">
        <v>198</v>
      </c>
      <c r="AO23" t="s">
        <v>208</v>
      </c>
      <c r="AT23" s="13">
        <f t="shared" si="1"/>
        <v>824009.38554721896</v>
      </c>
      <c r="AU23">
        <f t="shared" si="3"/>
        <v>10</v>
      </c>
      <c r="AV23">
        <v>997</v>
      </c>
      <c r="AW23">
        <v>9.81</v>
      </c>
      <c r="AX23">
        <f t="shared" si="2"/>
        <v>8.4249628145110051</v>
      </c>
    </row>
    <row r="24" spans="39:50" x14ac:dyDescent="0.3">
      <c r="AM24" s="54" t="s">
        <v>192</v>
      </c>
      <c r="AT24" s="13">
        <f t="shared" si="1"/>
        <v>824009.38554721896</v>
      </c>
      <c r="AU24">
        <f t="shared" si="3"/>
        <v>11</v>
      </c>
      <c r="AV24">
        <v>997</v>
      </c>
      <c r="AW24">
        <v>9.81</v>
      </c>
      <c r="AX24">
        <f t="shared" si="2"/>
        <v>7.6590571041009143</v>
      </c>
    </row>
    <row r="25" spans="39:50" x14ac:dyDescent="0.3">
      <c r="AM25" s="54" t="s">
        <v>201</v>
      </c>
      <c r="AT25" s="13">
        <f t="shared" si="1"/>
        <v>824009.38554721896</v>
      </c>
      <c r="AU25">
        <f t="shared" si="3"/>
        <v>12</v>
      </c>
      <c r="AV25">
        <v>997</v>
      </c>
      <c r="AW25">
        <v>9.81</v>
      </c>
      <c r="AX25">
        <f t="shared" si="2"/>
        <v>7.020802345425837</v>
      </c>
    </row>
    <row r="26" spans="39:50" x14ac:dyDescent="0.3">
      <c r="AM26" s="54" t="s">
        <v>203</v>
      </c>
      <c r="AT26" s="13">
        <f t="shared" si="1"/>
        <v>824009.38554721896</v>
      </c>
      <c r="AU26">
        <f t="shared" si="3"/>
        <v>13</v>
      </c>
      <c r="AV26">
        <v>997</v>
      </c>
      <c r="AW26">
        <v>9.81</v>
      </c>
      <c r="AX26">
        <f t="shared" si="2"/>
        <v>6.4807406265469263</v>
      </c>
    </row>
    <row r="27" spans="39:50" x14ac:dyDescent="0.3">
      <c r="AM27" s="54" t="s">
        <v>202</v>
      </c>
      <c r="AT27" s="13">
        <f t="shared" si="1"/>
        <v>824009.38554721896</v>
      </c>
      <c r="AU27">
        <f t="shared" si="3"/>
        <v>14</v>
      </c>
      <c r="AV27">
        <v>997</v>
      </c>
      <c r="AW27">
        <v>9.81</v>
      </c>
      <c r="AX27">
        <f t="shared" si="2"/>
        <v>6.0178305817935751</v>
      </c>
    </row>
    <row r="28" spans="39:50" x14ac:dyDescent="0.3">
      <c r="AM28" s="54" t="s">
        <v>204</v>
      </c>
      <c r="AT28" s="13">
        <f t="shared" si="1"/>
        <v>824009.38554721896</v>
      </c>
      <c r="AU28">
        <f t="shared" si="3"/>
        <v>15</v>
      </c>
      <c r="AV28">
        <v>997</v>
      </c>
      <c r="AW28">
        <v>9.81</v>
      </c>
      <c r="AX28">
        <f t="shared" si="2"/>
        <v>5.6166418763406698</v>
      </c>
    </row>
    <row r="29" spans="39:50" x14ac:dyDescent="0.3">
      <c r="AT29" s="13"/>
    </row>
    <row r="30" spans="39:50" x14ac:dyDescent="0.3">
      <c r="AM30" t="s">
        <v>193</v>
      </c>
      <c r="AO30" t="s">
        <v>199</v>
      </c>
      <c r="AT30" s="13"/>
    </row>
    <row r="31" spans="39:50" x14ac:dyDescent="0.3">
      <c r="AM31" s="54" t="s">
        <v>194</v>
      </c>
      <c r="AT31" s="13"/>
    </row>
    <row r="32" spans="39:50" x14ac:dyDescent="0.3">
      <c r="AM32" s="54" t="s">
        <v>195</v>
      </c>
      <c r="AT32" s="13"/>
    </row>
    <row r="33" spans="39:46" x14ac:dyDescent="0.3">
      <c r="AM33" s="54" t="s">
        <v>196</v>
      </c>
      <c r="AT33" s="13"/>
    </row>
    <row r="34" spans="39:46" x14ac:dyDescent="0.3">
      <c r="AM34" s="54" t="s">
        <v>197</v>
      </c>
      <c r="AT34" s="13"/>
    </row>
    <row r="35" spans="39:46" x14ac:dyDescent="0.3">
      <c r="AT35" s="13"/>
    </row>
    <row r="36" spans="39:46" x14ac:dyDescent="0.3">
      <c r="AT36" s="13"/>
    </row>
    <row r="37" spans="39:46" x14ac:dyDescent="0.3">
      <c r="AT37" s="13"/>
    </row>
    <row r="38" spans="39:46" x14ac:dyDescent="0.3">
      <c r="AT38" s="13"/>
    </row>
    <row r="39" spans="39:46" x14ac:dyDescent="0.3">
      <c r="AT39" s="13"/>
    </row>
    <row r="40" spans="39:46" x14ac:dyDescent="0.3">
      <c r="AT40" s="13"/>
    </row>
    <row r="41" spans="39:46" x14ac:dyDescent="0.3">
      <c r="AT41" s="13"/>
    </row>
    <row r="42" spans="39:46" x14ac:dyDescent="0.3">
      <c r="AT42" s="13"/>
    </row>
    <row r="43" spans="39:46" x14ac:dyDescent="0.3">
      <c r="AT43" s="13"/>
    </row>
    <row r="44" spans="39:46" x14ac:dyDescent="0.3">
      <c r="AT44" s="13"/>
    </row>
    <row r="45" spans="39:46" x14ac:dyDescent="0.3">
      <c r="AT45" s="13"/>
    </row>
    <row r="46" spans="39:46" x14ac:dyDescent="0.3">
      <c r="AT46" s="13"/>
    </row>
    <row r="47" spans="39:46" x14ac:dyDescent="0.3">
      <c r="AT47" s="13"/>
    </row>
    <row r="48" spans="39:46" x14ac:dyDescent="0.3">
      <c r="AT48" s="13"/>
    </row>
    <row r="49" spans="46:46" x14ac:dyDescent="0.3">
      <c r="AT49" s="13"/>
    </row>
    <row r="50" spans="46:46" x14ac:dyDescent="0.3">
      <c r="AT50" s="13"/>
    </row>
    <row r="51" spans="46:46" x14ac:dyDescent="0.3">
      <c r="AT51" s="13"/>
    </row>
    <row r="52" spans="46:46" x14ac:dyDescent="0.3">
      <c r="AT52" s="13"/>
    </row>
    <row r="53" spans="46:46" x14ac:dyDescent="0.3">
      <c r="AT53" s="13"/>
    </row>
    <row r="54" spans="46:46" x14ac:dyDescent="0.3">
      <c r="AT54" s="13"/>
    </row>
    <row r="55" spans="46:46" x14ac:dyDescent="0.3">
      <c r="AT55" s="13"/>
    </row>
    <row r="56" spans="46:46" x14ac:dyDescent="0.3">
      <c r="AT56" s="13"/>
    </row>
    <row r="57" spans="46:46" x14ac:dyDescent="0.3">
      <c r="AT57" s="13"/>
    </row>
    <row r="58" spans="46:46" x14ac:dyDescent="0.3">
      <c r="AT58" s="13"/>
    </row>
    <row r="59" spans="46:46" x14ac:dyDescent="0.3">
      <c r="AT59" s="13"/>
    </row>
    <row r="60" spans="46:46" x14ac:dyDescent="0.3">
      <c r="AT60" s="13"/>
    </row>
  </sheetData>
  <conditionalFormatting sqref="B4:I11 M4:T11 X4:AE11">
    <cfRule type="colorScale" priority="2">
      <colorScale>
        <cfvo type="min"/>
        <cfvo type="percentile" val="50"/>
        <cfvo type="max"/>
        <color theme="9" tint="0.39997558519241921"/>
        <color rgb="FFFFEB84"/>
        <color rgb="FFFF6161"/>
      </colorScale>
    </cfRule>
  </conditionalFormatting>
  <conditionalFormatting sqref="AI4:AP11">
    <cfRule type="colorScale" priority="1">
      <colorScale>
        <cfvo type="min"/>
        <cfvo type="percentile" val="50"/>
        <cfvo type="max"/>
        <color theme="9" tint="0.39997558519241921"/>
        <color rgb="FFFFEB84"/>
        <color rgb="FFFF6161"/>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A58AD-E082-4AE4-BE32-52B2B8CD07A6}">
  <dimension ref="A1:AW43"/>
  <sheetViews>
    <sheetView topLeftCell="AH11" zoomScale="96" zoomScaleNormal="107" workbookViewId="0">
      <selection activeCell="AR37" sqref="AR37"/>
    </sheetView>
  </sheetViews>
  <sheetFormatPr defaultRowHeight="14.4" x14ac:dyDescent="0.3"/>
  <cols>
    <col min="10" max="10" width="1.44140625" bestFit="1" customWidth="1"/>
    <col min="21" max="21" width="1.44140625" bestFit="1" customWidth="1"/>
    <col min="32" max="32" width="1.44140625" bestFit="1" customWidth="1"/>
    <col min="43" max="43" width="1.44140625" bestFit="1" customWidth="1"/>
    <col min="45" max="45" width="26.5546875" customWidth="1"/>
    <col min="46" max="46" width="27.21875" bestFit="1" customWidth="1"/>
    <col min="47" max="47" width="22.5546875" bestFit="1" customWidth="1"/>
    <col min="48" max="48" width="15.44140625" bestFit="1" customWidth="1"/>
    <col min="49" max="49" width="15" bestFit="1" customWidth="1"/>
    <col min="50" max="50" width="21.88671875" bestFit="1" customWidth="1"/>
    <col min="51" max="52" width="14.77734375" bestFit="1" customWidth="1"/>
  </cols>
  <sheetData>
    <row r="1" spans="1:49" x14ac:dyDescent="0.3">
      <c r="A1" t="s">
        <v>188</v>
      </c>
    </row>
    <row r="2" spans="1:49" x14ac:dyDescent="0.3">
      <c r="A2" t="s">
        <v>13</v>
      </c>
      <c r="L2" t="s">
        <v>107</v>
      </c>
      <c r="W2" t="s">
        <v>149</v>
      </c>
      <c r="AH2" t="s">
        <v>183</v>
      </c>
    </row>
    <row r="3" spans="1:49" x14ac:dyDescent="0.3">
      <c r="A3" s="8">
        <v>9</v>
      </c>
      <c r="L3" s="8">
        <v>9</v>
      </c>
      <c r="W3" s="8">
        <v>9</v>
      </c>
      <c r="AH3" s="8">
        <v>9</v>
      </c>
    </row>
    <row r="4" spans="1:49" ht="45" customHeight="1" thickBot="1" x14ac:dyDescent="0.35">
      <c r="A4" s="9">
        <v>8</v>
      </c>
      <c r="B4" s="15">
        <f>SUM('Verdieping 1'!C16:C17)*3.5*3.75</f>
        <v>13125</v>
      </c>
      <c r="C4" s="16">
        <f>SUM('Verdieping 1'!C32:C33)*2.5*3.75</f>
        <v>-1855.8713164155643</v>
      </c>
      <c r="D4" s="16">
        <f>SUM('Verdieping 1'!C48:C49)*1.5*3.75</f>
        <v>0</v>
      </c>
      <c r="E4" s="17">
        <f>SUM('Verdieping 1'!H16:H17)*0.5*3.75</f>
        <v>0</v>
      </c>
      <c r="F4" s="16">
        <f>SUM('Verdieping 1'!H32:H33)*0.5*3.75</f>
        <v>0</v>
      </c>
      <c r="G4" s="16">
        <f>SUM('Verdieping 1'!H48:H49)*1.5*3.75</f>
        <v>0</v>
      </c>
      <c r="H4" s="16">
        <f>SUM('Verdieping 1'!M16:M17)*2.5*3.75</f>
        <v>-1855.8713164155643</v>
      </c>
      <c r="I4" s="17">
        <f>SUM('Verdieping 1'!M32:M33)*3.5*3.75</f>
        <v>1698.046875</v>
      </c>
      <c r="L4" s="9">
        <v>8</v>
      </c>
      <c r="M4" s="15">
        <f>SUM('Verdieping 0'!C16:C17)*3.5*3.75</f>
        <v>0</v>
      </c>
      <c r="N4" s="16">
        <f>SUM('Verdieping 0'!C32:C33)*2.5*3.75</f>
        <v>9375</v>
      </c>
      <c r="O4" s="16">
        <f>SUM('Verdieping 0'!C48:C49)*1.5*3.75</f>
        <v>0</v>
      </c>
      <c r="P4" s="17">
        <f>SUM('Verdieping 0'!H16:H17)*0.5*3.75</f>
        <v>0</v>
      </c>
      <c r="Q4" s="16">
        <f>SUM('Verdieping 0'!H32:H33)*0.5*3.75</f>
        <v>0</v>
      </c>
      <c r="R4" s="16">
        <f>SUM('Verdieping 0'!H48:H49)*1.5*3.75</f>
        <v>0</v>
      </c>
      <c r="S4" s="16">
        <f>SUM('Verdieping 0'!M16:M17)*2.5*3.75</f>
        <v>0</v>
      </c>
      <c r="T4" s="17">
        <f>SUM('Verdieping 0'!M32:M33)*3.5*3.75</f>
        <v>0</v>
      </c>
      <c r="W4" s="9">
        <v>8</v>
      </c>
      <c r="X4" s="15">
        <f>SUM('Verdieping -1'!C16:C17)*3.5*3.75</f>
        <v>0</v>
      </c>
      <c r="Y4" s="16">
        <f>SUM('Verdieping -1'!C32:C33)*2.5*3.75</f>
        <v>0</v>
      </c>
      <c r="Z4" s="16">
        <f>SUM('Verdieping -1'!C48:C49)*1.5*3.75</f>
        <v>0</v>
      </c>
      <c r="AA4" s="17">
        <f>SUM('Verdieping -1'!H16:H17)*0.5*3.75</f>
        <v>0</v>
      </c>
      <c r="AB4" s="16">
        <f>SUM('Verdieping -1'!H32:H33)*0.5*3.75</f>
        <v>0</v>
      </c>
      <c r="AC4" s="16">
        <f>SUM('Verdieping -1'!H48:H49)*1.5*3.75</f>
        <v>0</v>
      </c>
      <c r="AD4" s="16">
        <f>SUM('Verdieping -1'!M16:M17)*2.5*3.75</f>
        <v>0</v>
      </c>
      <c r="AE4" s="17">
        <f>SUM('Verdieping -1'!M32:M33)*3.5*3.75</f>
        <v>0</v>
      </c>
      <c r="AH4" s="9">
        <v>8</v>
      </c>
      <c r="AI4" s="9">
        <f>SUM(B4,M4,X4)</f>
        <v>13125</v>
      </c>
      <c r="AJ4" s="9">
        <f t="shared" ref="AJ4:AP11" si="0">SUM(C4,N4,Y4)</f>
        <v>7519.1286835844357</v>
      </c>
      <c r="AK4" s="9">
        <f t="shared" si="0"/>
        <v>0</v>
      </c>
      <c r="AL4" s="19">
        <f t="shared" si="0"/>
        <v>0</v>
      </c>
      <c r="AM4" s="9">
        <f t="shared" si="0"/>
        <v>0</v>
      </c>
      <c r="AN4" s="9">
        <f t="shared" si="0"/>
        <v>0</v>
      </c>
      <c r="AO4" s="9">
        <f t="shared" si="0"/>
        <v>-1855.8713164155643</v>
      </c>
      <c r="AP4" s="9">
        <f t="shared" si="0"/>
        <v>1698.046875</v>
      </c>
    </row>
    <row r="5" spans="1:49" ht="45" customHeight="1" thickBot="1" x14ac:dyDescent="0.35">
      <c r="A5" s="9">
        <v>7</v>
      </c>
      <c r="B5" s="18">
        <f>SUM('Verdieping 1'!C14:C15)*3.5*3.75</f>
        <v>0</v>
      </c>
      <c r="C5" s="23">
        <f>SUM('Verdieping 1'!C30:C31)*2.5*3.75</f>
        <v>0</v>
      </c>
      <c r="D5" s="24">
        <f>SUM('Verdieping 1'!C46:C47)*1.5*3.75</f>
        <v>0</v>
      </c>
      <c r="E5" s="25">
        <f>SUM('Verdieping 1'!H14:H15)*0.5*3.75</f>
        <v>0</v>
      </c>
      <c r="F5" s="24">
        <f>SUM('Verdieping 1'!H30:H31)*0.5*3.75</f>
        <v>0</v>
      </c>
      <c r="G5" s="24">
        <f>SUM('Verdieping 1'!H46:H47)*1.5*3.75</f>
        <v>0</v>
      </c>
      <c r="H5" s="26">
        <f>SUM('Verdieping 1'!M14:M15)*2.5*3.75</f>
        <v>5976.5625</v>
      </c>
      <c r="I5" s="19">
        <f>SUM('Verdieping 1'!M30:M31)*3.5*3.75</f>
        <v>1698.046875</v>
      </c>
      <c r="L5" s="9">
        <v>7</v>
      </c>
      <c r="M5" s="18">
        <f>SUM('Verdieping 0'!C14:C15)*3.5*3.75</f>
        <v>0</v>
      </c>
      <c r="N5" s="44">
        <f>SUM('Verdieping 0'!C30:C31)*2.5*3.75</f>
        <v>-14400</v>
      </c>
      <c r="O5" s="24">
        <f>SUM('Verdieping 0'!C46:C47)*1.5*3.75</f>
        <v>4500</v>
      </c>
      <c r="P5" s="25">
        <f>SUM('Verdieping 0'!H14:H15)*0.5*3.75</f>
        <v>0</v>
      </c>
      <c r="Q5" s="24">
        <f>SUM('Verdieping 0'!H30:H31)*0.5*3.75</f>
        <v>1593.75</v>
      </c>
      <c r="R5" s="39">
        <f>SUM('Verdieping 0'!H46:H47)*1.5*3.75</f>
        <v>843.75</v>
      </c>
      <c r="S5" s="41">
        <f>SUM('Verdieping 0'!M14:M15)*2.5*3.75</f>
        <v>7968.75</v>
      </c>
      <c r="T5" s="19">
        <f>SUM('Verdieping 0'!M30:M31)*3.5*3.75</f>
        <v>0</v>
      </c>
      <c r="W5" s="9">
        <v>7</v>
      </c>
      <c r="X5" s="18">
        <f>SUM('Verdieping -1'!C14:C15)*3.5*3.75</f>
        <v>0</v>
      </c>
      <c r="Y5" s="23">
        <f>SUM('Verdieping -1'!C30:C31)*2.5*3.75</f>
        <v>33142.08984375</v>
      </c>
      <c r="Z5" s="24">
        <f>SUM('Verdieping -1'!C46:C47)*1.5*3.75</f>
        <v>197.75390625</v>
      </c>
      <c r="AA5" s="25">
        <f>SUM('Verdieping -1'!H14:H15)*0.5*3.75</f>
        <v>65.91796875</v>
      </c>
      <c r="AB5" s="24">
        <f>SUM('Verdieping -1'!H30:H31)*0.5*3.75</f>
        <v>65.91796875</v>
      </c>
      <c r="AC5" s="24">
        <f>SUM('Verdieping -1'!H46:H47)*1.5*3.75</f>
        <v>1322.75390625</v>
      </c>
      <c r="AD5" s="26">
        <f>SUM('Verdieping -1'!M14:M15)*2.5*3.75</f>
        <v>18221.94175364812</v>
      </c>
      <c r="AE5" s="19">
        <f>SUM('Verdieping -1'!M30:M31)*3.5*3.75</f>
        <v>0</v>
      </c>
      <c r="AH5" s="9">
        <v>7</v>
      </c>
      <c r="AI5" s="9">
        <f t="shared" ref="AI5:AI11" si="1">SUM(B5,M5,X5)</f>
        <v>0</v>
      </c>
      <c r="AJ5" s="9">
        <f t="shared" si="0"/>
        <v>18742.08984375</v>
      </c>
      <c r="AK5" s="9">
        <f t="shared" si="0"/>
        <v>4697.75390625</v>
      </c>
      <c r="AL5" s="19">
        <f t="shared" si="0"/>
        <v>65.91796875</v>
      </c>
      <c r="AM5" s="9">
        <f t="shared" si="0"/>
        <v>1659.66796875</v>
      </c>
      <c r="AN5" s="9">
        <f t="shared" si="0"/>
        <v>2166.50390625</v>
      </c>
      <c r="AO5" s="9">
        <f t="shared" si="0"/>
        <v>32167.25425364812</v>
      </c>
      <c r="AP5" s="9">
        <f t="shared" si="0"/>
        <v>1698.046875</v>
      </c>
    </row>
    <row r="6" spans="1:49" ht="45" customHeight="1" thickBot="1" x14ac:dyDescent="0.35">
      <c r="A6" s="9">
        <v>6</v>
      </c>
      <c r="B6" s="18">
        <f>SUM('Verdieping 1'!C12:C13)*3.5*3.75</f>
        <v>0</v>
      </c>
      <c r="C6" s="27">
        <f>SUM('Verdieping 1'!C28:C29)*2.5*3.75</f>
        <v>0</v>
      </c>
      <c r="D6" s="9">
        <f>SUM('Verdieping 1'!C44:C45)*1.5*3.75</f>
        <v>0</v>
      </c>
      <c r="E6" s="19">
        <f>SUM('Verdieping 1'!H12:H13)*0.5*3.75</f>
        <v>0</v>
      </c>
      <c r="F6" s="9">
        <f>SUM('Verdieping 1'!H28:H29)*0.5*3.75</f>
        <v>0</v>
      </c>
      <c r="G6" s="9">
        <f>SUM('Verdieping 1'!H44:H45)*1.5*3.75</f>
        <v>0</v>
      </c>
      <c r="H6" s="28">
        <f>SUM('Verdieping 1'!M12:M13)*2.5*3.75</f>
        <v>4804.6875</v>
      </c>
      <c r="I6" s="19">
        <f>SUM('Verdieping 1'!M28:M29)*3.5*3.75</f>
        <v>1698.046875</v>
      </c>
      <c r="L6" s="9">
        <v>6</v>
      </c>
      <c r="M6" s="18">
        <f>SUM('Verdieping 0'!C12:C13)*3.5*3.75</f>
        <v>0</v>
      </c>
      <c r="N6" s="45">
        <f>SUM('Verdieping 0'!C28:C29)*2.5*3.75</f>
        <v>-35156.25</v>
      </c>
      <c r="O6" s="9">
        <f>SUM('Verdieping 0'!C44:C45)*1.5*3.75</f>
        <v>168.75</v>
      </c>
      <c r="P6" s="39">
        <f>SUM('Verdieping 0'!H12:H13)*0.5*3.75</f>
        <v>468.75</v>
      </c>
      <c r="Q6" s="42">
        <f>SUM('Verdieping 0'!H28:H29)*0.5*3.75</f>
        <v>1712.3810326019807</v>
      </c>
      <c r="R6" s="27">
        <f>SUM('Verdieping 0'!H44:H45)*1.5*3.75</f>
        <v>1968.75</v>
      </c>
      <c r="S6" s="28">
        <f>SUM('Verdieping 0'!M12:M13)*2.5*3.75</f>
        <v>7265.625</v>
      </c>
      <c r="T6" s="19">
        <f>SUM('Verdieping 0'!M28:M29)*3.5*3.75</f>
        <v>393.75</v>
      </c>
      <c r="W6" s="9">
        <v>6</v>
      </c>
      <c r="X6" s="18">
        <f>SUM('Verdieping -1'!C12:C13)*3.5*3.75</f>
        <v>0</v>
      </c>
      <c r="Y6" s="27">
        <f>SUM('Verdieping -1'!C28:C29)*2.5*3.75</f>
        <v>2673.33984375</v>
      </c>
      <c r="Z6" s="9">
        <f>SUM('Verdieping -1'!C44:C45)*1.5*3.75</f>
        <v>3572.75390625</v>
      </c>
      <c r="AA6" s="19">
        <f>SUM('Verdieping -1'!H12:H13)*0.5*3.75</f>
        <v>1190.91796875</v>
      </c>
      <c r="AB6" s="9">
        <f>SUM('Verdieping -1'!H28:H29)*0.5*3.75</f>
        <v>1190.91796875</v>
      </c>
      <c r="AC6" s="9">
        <f>SUM('Verdieping -1'!H44:H45)*1.5*3.75</f>
        <v>3572.75390625</v>
      </c>
      <c r="AD6" s="28">
        <f>SUM('Verdieping -1'!M12:M13)*2.5*3.75</f>
        <v>1735.83984375</v>
      </c>
      <c r="AE6" s="19">
        <f>SUM('Verdieping -1'!M28:M29)*3.5*3.75</f>
        <v>0</v>
      </c>
      <c r="AH6" s="9">
        <v>6</v>
      </c>
      <c r="AI6" s="9">
        <f t="shared" si="1"/>
        <v>0</v>
      </c>
      <c r="AJ6" s="9">
        <f>SUM(C6,N6,Y6)</f>
        <v>-32482.91015625</v>
      </c>
      <c r="AK6" s="9">
        <f t="shared" si="0"/>
        <v>3741.50390625</v>
      </c>
      <c r="AL6" s="19">
        <f t="shared" si="0"/>
        <v>1659.66796875</v>
      </c>
      <c r="AM6" s="9">
        <f t="shared" si="0"/>
        <v>2903.2990013519807</v>
      </c>
      <c r="AN6" s="9">
        <f t="shared" si="0"/>
        <v>5541.50390625</v>
      </c>
      <c r="AO6" s="9">
        <f t="shared" si="0"/>
        <v>13806.15234375</v>
      </c>
      <c r="AP6" s="9">
        <f t="shared" si="0"/>
        <v>2091.796875</v>
      </c>
    </row>
    <row r="7" spans="1:49" ht="45" customHeight="1" thickBot="1" x14ac:dyDescent="0.35">
      <c r="A7" s="9">
        <v>5</v>
      </c>
      <c r="B7" s="20">
        <f>SUM('Verdieping 1'!C10:C11)*3.5*3.75</f>
        <v>0</v>
      </c>
      <c r="C7" s="29">
        <f>SUM('Verdieping 1'!C26:C27)*2.5*3.75</f>
        <v>0</v>
      </c>
      <c r="D7" s="21">
        <f>SUM('Verdieping 1'!C42:C43)*1.5*3.75</f>
        <v>0</v>
      </c>
      <c r="E7" s="22">
        <f>SUM('Verdieping 1'!H10:H11)*0.5*3.75</f>
        <v>0</v>
      </c>
      <c r="F7" s="21">
        <f>SUM('Verdieping 1'!H26:H27)*0.5*3.75</f>
        <v>0</v>
      </c>
      <c r="G7" s="21">
        <f>SUM('Verdieping 1'!H42:H43)*1.5*3.75</f>
        <v>0</v>
      </c>
      <c r="H7" s="30">
        <f>SUM('Verdieping 1'!M10:M11)*2.5*3.75</f>
        <v>468.75</v>
      </c>
      <c r="I7" s="22">
        <f>SUM('Verdieping 1'!M26:M27)*3.5*3.75</f>
        <v>3343.8985608807848</v>
      </c>
      <c r="L7" s="9">
        <v>5</v>
      </c>
      <c r="M7" s="20">
        <f>SUM('Verdieping 0'!C10:C11)*3.5*3.75</f>
        <v>0</v>
      </c>
      <c r="N7" s="29">
        <f>SUM('Verdieping 0'!C26:C27)*2.5*3.75</f>
        <v>1875</v>
      </c>
      <c r="O7" s="39">
        <f>SUM('Verdieping 0'!C42:C43)*1.5*3.75</f>
        <v>20619.140625</v>
      </c>
      <c r="P7" s="40">
        <f>SUM('Verdieping 0'!H10:H11)*0.5*3.75</f>
        <v>6966.796875</v>
      </c>
      <c r="Q7" s="46">
        <f>SUM('Verdieping 0'!H26:H27)*0.5*3.75</f>
        <v>7154.296875</v>
      </c>
      <c r="R7" s="29">
        <f>SUM('Verdieping 0'!H42:H43)*1.5*3.75</f>
        <v>0</v>
      </c>
      <c r="S7" s="30">
        <f>SUM('Verdieping 0'!M10:M11)*2.5*3.75</f>
        <v>34687.5</v>
      </c>
      <c r="T7" s="22">
        <f>SUM('Verdieping 0'!M26:M27)*3.5*3.75</f>
        <v>984.375</v>
      </c>
      <c r="W7" s="9">
        <v>5</v>
      </c>
      <c r="X7" s="20">
        <f>SUM('Verdieping -1'!C10:C11)*3.5*3.75</f>
        <v>0</v>
      </c>
      <c r="Y7" s="35">
        <f>SUM('Verdieping -1'!C26:C27)*2.5*3.75</f>
        <v>3750</v>
      </c>
      <c r="Z7" s="36">
        <f>SUM('Verdieping -1'!C42:C43)*1.5*3.75</f>
        <v>1968.75</v>
      </c>
      <c r="AA7" s="37">
        <f>SUM('Verdieping -1'!H10:H11)*0.5*3.75</f>
        <v>468.75</v>
      </c>
      <c r="AB7" s="36">
        <f>SUM('Verdieping -1'!H26:H27)*0.5*3.75</f>
        <v>937.5</v>
      </c>
      <c r="AC7" s="36">
        <f>SUM('Verdieping -1'!H42:H43)*1.5*3.75</f>
        <v>562.5</v>
      </c>
      <c r="AD7" s="38">
        <f>SUM('Verdieping -1'!M10:M11)*2.5*3.75</f>
        <v>4687.5</v>
      </c>
      <c r="AE7" s="22">
        <f>SUM('Verdieping -1'!M26:M27)*3.5*3.75</f>
        <v>0</v>
      </c>
      <c r="AH7" s="9">
        <v>5</v>
      </c>
      <c r="AI7" s="9">
        <f t="shared" si="1"/>
        <v>0</v>
      </c>
      <c r="AJ7" s="9">
        <f t="shared" si="0"/>
        <v>5625</v>
      </c>
      <c r="AK7" s="9">
        <f t="shared" si="0"/>
        <v>22587.890625</v>
      </c>
      <c r="AL7" s="19">
        <f t="shared" si="0"/>
        <v>7435.546875</v>
      </c>
      <c r="AM7" s="9">
        <f t="shared" si="0"/>
        <v>8091.796875</v>
      </c>
      <c r="AN7" s="9">
        <f t="shared" si="0"/>
        <v>562.5</v>
      </c>
      <c r="AO7" s="9">
        <f t="shared" si="0"/>
        <v>39843.75</v>
      </c>
      <c r="AP7" s="9">
        <f t="shared" si="0"/>
        <v>4328.2735608807852</v>
      </c>
    </row>
    <row r="8" spans="1:49" ht="45" customHeight="1" thickBot="1" x14ac:dyDescent="0.35">
      <c r="A8" s="9">
        <v>4</v>
      </c>
      <c r="B8" s="18">
        <f>SUM('Verdieping 1'!C8:C9)*3.5*3.75</f>
        <v>0</v>
      </c>
      <c r="C8" s="27">
        <f>SUM('Verdieping 1'!C24:C25)*2.5*3.75</f>
        <v>0</v>
      </c>
      <c r="D8" s="9">
        <f>SUM('Verdieping 1'!C40:C41)*1.5*3.75</f>
        <v>0</v>
      </c>
      <c r="E8" s="19">
        <f>SUM('Verdieping 1'!H8:H9)*0.5*3.75</f>
        <v>0</v>
      </c>
      <c r="F8" s="9">
        <f>SUM('Verdieping 1'!H24:H25)*0.5*3.75</f>
        <v>0</v>
      </c>
      <c r="G8" s="9">
        <f>SUM('Verdieping 1'!H40:H41)*1.5*3.75</f>
        <v>104625</v>
      </c>
      <c r="H8" s="28">
        <f>SUM('Verdieping 1'!M8:M9)*2.5*3.75</f>
        <v>468.75</v>
      </c>
      <c r="I8" s="19">
        <f>SUM('Verdieping 1'!M24:M25)*3.5*3.75</f>
        <v>2682.421875</v>
      </c>
      <c r="L8" s="9">
        <v>4</v>
      </c>
      <c r="M8" s="18">
        <f>SUM('Verdieping 0'!C8:C9)*3.5*3.75</f>
        <v>0</v>
      </c>
      <c r="N8" s="27">
        <f>SUM('Verdieping 0'!C24:C25)*2.5*3.75</f>
        <v>-14437.500000000002</v>
      </c>
      <c r="O8" s="42">
        <f>SUM('Verdieping 0'!C40:C41)*1.5*3.75</f>
        <v>20337.890625</v>
      </c>
      <c r="P8" s="43">
        <f>SUM('Verdieping 0'!H8:H9)*0.5*3.75</f>
        <v>7041.796875</v>
      </c>
      <c r="Q8" s="46">
        <f>SUM('Verdieping 0'!H24:H25)*0.5*3.75</f>
        <v>7266.796875</v>
      </c>
      <c r="R8" s="27">
        <f>SUM('Verdieping 0'!H40:H41)*1.5*3.75</f>
        <v>843.75</v>
      </c>
      <c r="S8" s="28">
        <f>SUM('Verdieping 0'!M8:M9)*2.5*3.75</f>
        <v>11250</v>
      </c>
      <c r="T8" s="19">
        <f>SUM('Verdieping 0'!M24:M25)*3.5*3.75</f>
        <v>0</v>
      </c>
      <c r="W8" s="9">
        <v>4</v>
      </c>
      <c r="X8" s="18">
        <f>SUM('Verdieping -1'!C8:C9)*3.5*3.75</f>
        <v>0</v>
      </c>
      <c r="Y8" s="31">
        <f>SUM('Verdieping -1'!C24:C25)*2.5*3.75</f>
        <v>30000</v>
      </c>
      <c r="Z8" s="32">
        <f>SUM('Verdieping -1'!C40:C41)*1.5*3.75</f>
        <v>1237.5</v>
      </c>
      <c r="AA8" s="33">
        <f>SUM('Verdieping -1'!H8:H9)*0.5*3.75</f>
        <v>0</v>
      </c>
      <c r="AB8" s="32">
        <f>SUM('Verdieping -1'!H24:H25)*0.5*3.75</f>
        <v>0</v>
      </c>
      <c r="AC8" s="32">
        <f>SUM('Verdieping -1'!H40:H41)*1.5*3.75</f>
        <v>0</v>
      </c>
      <c r="AD8" s="34">
        <f>SUM('Verdieping -1'!M8:M9)*2.5*3.75</f>
        <v>2343.75</v>
      </c>
      <c r="AE8" s="19">
        <f>SUM('Verdieping -1'!M24:M25)*3.5*3.75</f>
        <v>0</v>
      </c>
      <c r="AH8" s="9">
        <v>4</v>
      </c>
      <c r="AI8" s="9">
        <f t="shared" si="1"/>
        <v>0</v>
      </c>
      <c r="AJ8" s="9">
        <f t="shared" si="0"/>
        <v>15562.499999999998</v>
      </c>
      <c r="AK8" s="9">
        <f t="shared" si="0"/>
        <v>21575.390625</v>
      </c>
      <c r="AL8" s="19">
        <f t="shared" si="0"/>
        <v>7041.796875</v>
      </c>
      <c r="AM8" s="9">
        <f t="shared" si="0"/>
        <v>7266.796875</v>
      </c>
      <c r="AN8" s="9">
        <f t="shared" si="0"/>
        <v>105468.75</v>
      </c>
      <c r="AO8" s="9">
        <f t="shared" si="0"/>
        <v>14062.5</v>
      </c>
      <c r="AP8" s="9">
        <f t="shared" si="0"/>
        <v>2682.421875</v>
      </c>
    </row>
    <row r="9" spans="1:49" ht="45" customHeight="1" thickBot="1" x14ac:dyDescent="0.35">
      <c r="A9" s="9">
        <v>3</v>
      </c>
      <c r="B9" s="18">
        <f>SUM('Verdieping 1'!C6:C7)*3.5*3.75</f>
        <v>0</v>
      </c>
      <c r="C9" s="27">
        <f>SUM('Verdieping 1'!C22:C23)*2.5*3.75</f>
        <v>0</v>
      </c>
      <c r="D9" s="9">
        <f>SUM('Verdieping 1'!C38:C39)*1.5*3.75</f>
        <v>0</v>
      </c>
      <c r="E9" s="19">
        <f>SUM('Verdieping 1'!H6:H7)*0.5*3.75</f>
        <v>0</v>
      </c>
      <c r="F9" s="9">
        <f>SUM('Verdieping 1'!H22:H23)*0.5*3.75</f>
        <v>0</v>
      </c>
      <c r="G9" s="9">
        <f>SUM('Verdieping 1'!H38:H39)*1.5*3.75</f>
        <v>0</v>
      </c>
      <c r="H9" s="28">
        <f>SUM('Verdieping 1'!M6:M7)*2.5*3.75</f>
        <v>5273.4375</v>
      </c>
      <c r="I9" s="19">
        <f>SUM('Verdieping 1'!M22:M23)*3.5*3.75</f>
        <v>1698.046875</v>
      </c>
      <c r="L9" s="9">
        <v>3</v>
      </c>
      <c r="M9" s="18">
        <f>SUM('Verdieping 0'!C6:C7)*3.5*3.75</f>
        <v>0</v>
      </c>
      <c r="N9" s="27">
        <f>SUM('Verdieping 0'!C22:C23)*2.5*3.75</f>
        <v>-14437.500000000002</v>
      </c>
      <c r="O9" s="42">
        <f>SUM('Verdieping 0'!C38:C39)*1.5*3.75</f>
        <v>13500</v>
      </c>
      <c r="P9" s="42">
        <f>SUM('Verdieping 0'!H6:H7)*0.5*3.75</f>
        <v>206.25</v>
      </c>
      <c r="Q9" s="39">
        <f>SUM('Verdieping 0'!H22:H23)*0.5*3.75</f>
        <v>3750</v>
      </c>
      <c r="R9" s="27">
        <f>SUM('Verdieping 0'!H38:H39)*1.5*3.75</f>
        <v>3937.5</v>
      </c>
      <c r="S9" s="28">
        <f>SUM('Verdieping 0'!M6:M7)*2.5*3.75</f>
        <v>11250</v>
      </c>
      <c r="T9" s="19">
        <f>SUM('Verdieping 0'!M22:M23)*3.5*3.75</f>
        <v>0</v>
      </c>
      <c r="W9" s="9">
        <v>3</v>
      </c>
      <c r="X9" s="18">
        <f>SUM('Verdieping -1'!C6:C7)*3.5*3.75</f>
        <v>0</v>
      </c>
      <c r="Y9" s="27">
        <f>SUM('Verdieping -1'!C22:C23)*2.5*3.75</f>
        <v>30468.75</v>
      </c>
      <c r="Z9" s="9">
        <f>SUM('Verdieping -1'!C38:C39)*1.5*3.75</f>
        <v>843.75</v>
      </c>
      <c r="AA9" s="19">
        <f>SUM('Verdieping -1'!H6:H7)*0.5*3.75</f>
        <v>187.5</v>
      </c>
      <c r="AB9" s="9">
        <f>SUM('Verdieping -1'!H22:H23)*0.5*3.75</f>
        <v>468.75</v>
      </c>
      <c r="AC9" s="9">
        <f>SUM('Verdieping -1'!H38:H39)*1.5*3.75</f>
        <v>1406.25</v>
      </c>
      <c r="AD9" s="28">
        <f>SUM('Verdieping -1'!M6:M7)*2.5*3.75</f>
        <v>3750</v>
      </c>
      <c r="AE9" s="19">
        <f>SUM('Verdieping -1'!M22:M23)*3.5*3.75</f>
        <v>0</v>
      </c>
      <c r="AH9" s="9">
        <v>3</v>
      </c>
      <c r="AI9" s="9">
        <f t="shared" si="1"/>
        <v>0</v>
      </c>
      <c r="AJ9" s="9">
        <f t="shared" si="0"/>
        <v>16031.249999999998</v>
      </c>
      <c r="AK9" s="9">
        <f t="shared" si="0"/>
        <v>14343.75</v>
      </c>
      <c r="AL9" s="19">
        <f t="shared" si="0"/>
        <v>393.75</v>
      </c>
      <c r="AM9" s="9">
        <f t="shared" si="0"/>
        <v>4218.75</v>
      </c>
      <c r="AN9" s="9">
        <f t="shared" si="0"/>
        <v>5343.75</v>
      </c>
      <c r="AO9" s="9">
        <f t="shared" si="0"/>
        <v>20273.4375</v>
      </c>
      <c r="AP9" s="9">
        <f t="shared" si="0"/>
        <v>1698.046875</v>
      </c>
    </row>
    <row r="10" spans="1:49" ht="45" customHeight="1" thickBot="1" x14ac:dyDescent="0.35">
      <c r="A10" s="9">
        <v>2</v>
      </c>
      <c r="B10" s="18">
        <f>SUM('Verdieping 1'!C4:C5)*3.5*3.75</f>
        <v>1312.5</v>
      </c>
      <c r="C10" s="31">
        <f>SUM('Verdieping 1'!C20:C21)*2.5*3.75</f>
        <v>0</v>
      </c>
      <c r="D10" s="32">
        <f>SUM('Verdieping 1'!C36:C37)*1.5*3.75</f>
        <v>0</v>
      </c>
      <c r="E10" s="33">
        <f>SUM('Verdieping 1'!H4:H5)*0.5*3.75</f>
        <v>0</v>
      </c>
      <c r="F10" s="32">
        <f>SUM('Verdieping 1'!H20:H21)*0.5*3.75</f>
        <v>0</v>
      </c>
      <c r="G10" s="32">
        <f>SUM('Verdieping 1'!H36:H37)*1.5*3.75</f>
        <v>0</v>
      </c>
      <c r="H10" s="34">
        <f>SUM('Verdieping 1'!M4:M5)*2.5*3.75</f>
        <v>6562.5</v>
      </c>
      <c r="I10" s="19">
        <f>SUM('Verdieping 1'!M20:M21)*3.5*3.75</f>
        <v>1698.046875</v>
      </c>
      <c r="L10" s="9">
        <v>2</v>
      </c>
      <c r="M10" s="18">
        <f>SUM('Verdieping 0'!C4:C5)*3.5*3.75</f>
        <v>0</v>
      </c>
      <c r="N10" s="31">
        <f>SUM('Verdieping 0'!C20:C21)*2.5*3.75</f>
        <v>1875</v>
      </c>
      <c r="O10" s="32">
        <f>SUM('Verdieping 0'!C36:C37)*1.5*3.75</f>
        <v>843.75</v>
      </c>
      <c r="P10" s="33">
        <f>SUM('Verdieping 0'!H4:H5)*0.5*3.75</f>
        <v>0</v>
      </c>
      <c r="Q10" s="32">
        <f>SUM('Verdieping 0'!H20:H21)*0.5*3.75</f>
        <v>487.5</v>
      </c>
      <c r="R10" s="31">
        <f>SUM('Verdieping 0'!H36:H37)*1.5*3.75</f>
        <v>11812.5</v>
      </c>
      <c r="S10" s="34">
        <f>SUM('Verdieping 0'!M4:M5)*2.5*3.75</f>
        <v>3750</v>
      </c>
      <c r="T10" s="19">
        <f>SUM('Verdieping 0'!M20:M21)*3.5*3.75</f>
        <v>0</v>
      </c>
      <c r="W10" s="9">
        <v>2</v>
      </c>
      <c r="X10" s="18">
        <f>SUM('Verdieping -1'!C4:C5)*3.5*3.75</f>
        <v>0</v>
      </c>
      <c r="Y10" s="31">
        <f>SUM('Verdieping -1'!C20:C21)*2.5*3.75</f>
        <v>1406.25</v>
      </c>
      <c r="Z10" s="32">
        <f>SUM('Verdieping -1'!C36:C37)*1.5*3.75</f>
        <v>112.5</v>
      </c>
      <c r="AA10" s="33">
        <f>SUM('Verdieping -1'!H4:H5)*0.5*3.75</f>
        <v>187.5</v>
      </c>
      <c r="AB10" s="32">
        <f>SUM('Verdieping -1'!H20:H21)*0.5*3.75</f>
        <v>93.75</v>
      </c>
      <c r="AC10" s="32">
        <f>SUM('Verdieping -1'!H36:H37)*1.5*3.75</f>
        <v>9450</v>
      </c>
      <c r="AD10" s="34">
        <f>SUM('Verdieping -1'!M4:M5)*2.5*3.75</f>
        <v>937.5</v>
      </c>
      <c r="AE10" s="19">
        <f>SUM('Verdieping -1'!M20:M21)*3.5*3.75</f>
        <v>0</v>
      </c>
      <c r="AH10" s="9">
        <v>2</v>
      </c>
      <c r="AI10" s="9">
        <f t="shared" si="1"/>
        <v>1312.5</v>
      </c>
      <c r="AJ10" s="9">
        <f t="shared" si="0"/>
        <v>3281.25</v>
      </c>
      <c r="AK10" s="9">
        <f t="shared" si="0"/>
        <v>956.25</v>
      </c>
      <c r="AL10" s="19">
        <f t="shared" si="0"/>
        <v>187.5</v>
      </c>
      <c r="AM10" s="9">
        <f t="shared" si="0"/>
        <v>581.25</v>
      </c>
      <c r="AN10" s="9">
        <f t="shared" si="0"/>
        <v>21262.5</v>
      </c>
      <c r="AO10" s="9">
        <f t="shared" si="0"/>
        <v>11250</v>
      </c>
      <c r="AP10" s="9">
        <f t="shared" si="0"/>
        <v>1698.046875</v>
      </c>
    </row>
    <row r="11" spans="1:49" ht="45" customHeight="1" x14ac:dyDescent="0.3">
      <c r="A11" s="9">
        <v>1</v>
      </c>
      <c r="B11" s="20">
        <f>SUM('Verdieping 1'!C2:C3)*3.5*3.75</f>
        <v>14437.5</v>
      </c>
      <c r="C11" s="21">
        <f>SUM('Verdieping 1'!C18:C19)*2.5*3.75</f>
        <v>0</v>
      </c>
      <c r="D11" s="21">
        <f>SUM('Verdieping 1'!C34:C35)*1.5*3.75</f>
        <v>7312.5</v>
      </c>
      <c r="E11" s="22">
        <f>SUM('Verdieping 1'!H2:H3)*0.5*3.75</f>
        <v>0</v>
      </c>
      <c r="F11" s="21">
        <f>SUM('Verdieping 1'!H18:H19)*0.5*3.75</f>
        <v>0</v>
      </c>
      <c r="G11" s="21">
        <f>SUM('Verdieping 1'!H34:H35)*1.5*3.75</f>
        <v>0</v>
      </c>
      <c r="H11" s="21">
        <f>SUM('Verdieping 1'!M2:M3)*2.5*3.75</f>
        <v>0</v>
      </c>
      <c r="I11" s="22">
        <f>SUM('Verdieping 1'!M18:M19)*3.5*3.75</f>
        <v>1698.046875</v>
      </c>
      <c r="L11" s="9">
        <v>1</v>
      </c>
      <c r="M11" s="20">
        <f>SUM('Verdieping 0'!C2:C3)*3.5*3.75</f>
        <v>0</v>
      </c>
      <c r="N11" s="21">
        <f>SUM('Verdieping 0'!C18:C19)*2.5*3.75</f>
        <v>0</v>
      </c>
      <c r="O11" s="21">
        <f>SUM('Verdieping 0'!C34:C35)*1.5*3.75</f>
        <v>0</v>
      </c>
      <c r="P11" s="22">
        <f>SUM('Verdieping 0'!H2:H3)*0.5*3.75</f>
        <v>0</v>
      </c>
      <c r="Q11" s="21">
        <f>SUM('Verdieping 0'!H18:H19)*0.5*3.75</f>
        <v>0</v>
      </c>
      <c r="R11" s="21">
        <f>SUM('Verdieping 0'!H34:H35)*1.5*3.75</f>
        <v>5625</v>
      </c>
      <c r="S11" s="21">
        <f>SUM('Verdieping 0'!M2:M3)*2.5*3.75</f>
        <v>1218.75</v>
      </c>
      <c r="T11" s="22">
        <f>SUM('Verdieping 0'!M18:M19)*3.5*3.75</f>
        <v>0</v>
      </c>
      <c r="W11" s="9">
        <v>1</v>
      </c>
      <c r="X11" s="20">
        <f>SUM('Verdieping -1'!C2:C3)*3.5*3.75</f>
        <v>0</v>
      </c>
      <c r="Y11" s="21">
        <f>SUM('Verdieping -1'!C18:C19)*2.5*3.75</f>
        <v>0</v>
      </c>
      <c r="Z11" s="21">
        <f>SUM('Verdieping -1'!C34:C35)*1.5*3.75</f>
        <v>0</v>
      </c>
      <c r="AA11" s="22">
        <f>SUM('Verdieping -1'!H2:H3)*0.5*3.75</f>
        <v>0</v>
      </c>
      <c r="AB11" s="21">
        <f>SUM('Verdieping -1'!H18:H19)*0.5*3.75</f>
        <v>0</v>
      </c>
      <c r="AC11" s="21">
        <f>SUM('Verdieping -1'!H34:H35)*1.5*3.75</f>
        <v>0</v>
      </c>
      <c r="AD11" s="21">
        <f>SUM('Verdieping -1'!M2:M3)*2.5*3.75</f>
        <v>0</v>
      </c>
      <c r="AE11" s="22">
        <f>SUM('Verdieping -1'!M18:M19)*3.5*3.75</f>
        <v>0</v>
      </c>
      <c r="AH11" s="9">
        <v>1</v>
      </c>
      <c r="AI11" s="9">
        <f t="shared" si="1"/>
        <v>14437.5</v>
      </c>
      <c r="AJ11" s="9">
        <f t="shared" si="0"/>
        <v>0</v>
      </c>
      <c r="AK11" s="9">
        <f t="shared" si="0"/>
        <v>7312.5</v>
      </c>
      <c r="AL11" s="19">
        <f t="shared" si="0"/>
        <v>0</v>
      </c>
      <c r="AM11" s="9">
        <f t="shared" si="0"/>
        <v>0</v>
      </c>
      <c r="AN11" s="9">
        <f t="shared" si="0"/>
        <v>5625</v>
      </c>
      <c r="AO11" s="9">
        <f t="shared" si="0"/>
        <v>1218.75</v>
      </c>
      <c r="AP11" s="9">
        <f t="shared" si="0"/>
        <v>1698.046875</v>
      </c>
    </row>
    <row r="12" spans="1:49" x14ac:dyDescent="0.3">
      <c r="B12" t="s">
        <v>174</v>
      </c>
      <c r="C12" t="s">
        <v>175</v>
      </c>
      <c r="D12" t="s">
        <v>176</v>
      </c>
      <c r="E12" t="s">
        <v>177</v>
      </c>
      <c r="F12" t="s">
        <v>178</v>
      </c>
      <c r="G12" t="s">
        <v>179</v>
      </c>
      <c r="H12" t="s">
        <v>180</v>
      </c>
      <c r="I12" t="s">
        <v>97</v>
      </c>
      <c r="J12" t="s">
        <v>181</v>
      </c>
      <c r="M12" s="9" t="s">
        <v>174</v>
      </c>
      <c r="N12" s="9" t="s">
        <v>175</v>
      </c>
      <c r="O12" s="9" t="s">
        <v>176</v>
      </c>
      <c r="P12" s="9" t="s">
        <v>177</v>
      </c>
      <c r="Q12" s="9" t="s">
        <v>178</v>
      </c>
      <c r="R12" s="9" t="s">
        <v>179</v>
      </c>
      <c r="S12" s="9" t="s">
        <v>180</v>
      </c>
      <c r="T12" s="9" t="s">
        <v>97</v>
      </c>
      <c r="U12" s="10" t="s">
        <v>181</v>
      </c>
      <c r="X12" s="9" t="s">
        <v>174</v>
      </c>
      <c r="Y12" s="9" t="s">
        <v>175</v>
      </c>
      <c r="Z12" s="9" t="s">
        <v>176</v>
      </c>
      <c r="AA12" s="9" t="s">
        <v>177</v>
      </c>
      <c r="AB12" s="9" t="s">
        <v>178</v>
      </c>
      <c r="AC12" s="9" t="s">
        <v>179</v>
      </c>
      <c r="AD12" s="9" t="s">
        <v>180</v>
      </c>
      <c r="AE12" s="9" t="s">
        <v>97</v>
      </c>
      <c r="AF12" s="10" t="s">
        <v>181</v>
      </c>
      <c r="AI12" s="9" t="s">
        <v>174</v>
      </c>
      <c r="AJ12" s="9" t="s">
        <v>175</v>
      </c>
      <c r="AK12" s="9" t="s">
        <v>176</v>
      </c>
      <c r="AL12" s="19" t="s">
        <v>177</v>
      </c>
      <c r="AM12" s="9" t="s">
        <v>178</v>
      </c>
      <c r="AN12" s="9" t="s">
        <v>179</v>
      </c>
      <c r="AO12" s="9" t="s">
        <v>180</v>
      </c>
      <c r="AP12" s="9" t="s">
        <v>97</v>
      </c>
      <c r="AQ12" s="10" t="s">
        <v>181</v>
      </c>
      <c r="AW12" t="s">
        <v>212</v>
      </c>
    </row>
    <row r="13" spans="1:49" x14ac:dyDescent="0.3">
      <c r="AP13" t="s">
        <v>209</v>
      </c>
      <c r="AR13" t="s">
        <v>210</v>
      </c>
      <c r="AS13" s="13" t="s">
        <v>213</v>
      </c>
      <c r="AT13" t="s">
        <v>205</v>
      </c>
      <c r="AU13" t="s">
        <v>200</v>
      </c>
      <c r="AV13" t="s">
        <v>207</v>
      </c>
      <c r="AW13" t="s">
        <v>206</v>
      </c>
    </row>
    <row r="14" spans="1:49" x14ac:dyDescent="0.3">
      <c r="B14">
        <f>SUM(B4:E11)</f>
        <v>34331.628683584437</v>
      </c>
      <c r="C14" s="13"/>
      <c r="H14" s="13"/>
      <c r="I14">
        <f>SUM(F4:I11)</f>
        <v>142538.41786946522</v>
      </c>
      <c r="M14">
        <f>SUM(M4:P11)</f>
        <v>9346.8749999999982</v>
      </c>
      <c r="N14" s="13"/>
      <c r="S14" s="13"/>
      <c r="T14">
        <f>SUM(Q4:T11)</f>
        <v>125764.72478260199</v>
      </c>
      <c r="X14">
        <f>SUM(X4:AA11)</f>
        <v>111474.0234375</v>
      </c>
      <c r="Y14" s="13"/>
      <c r="AD14" s="13"/>
      <c r="AE14">
        <f>SUM(AB4:AE11)</f>
        <v>50747.62534739812</v>
      </c>
      <c r="AO14" s="13" t="s">
        <v>189</v>
      </c>
      <c r="AP14">
        <f>SUM(B14,M14,X14)</f>
        <v>155152.52712108445</v>
      </c>
      <c r="AR14" s="50">
        <f>AP14*AO$21</f>
        <v>1521526.5300919828</v>
      </c>
      <c r="AS14" s="13">
        <f>ABS(AR$16)</f>
        <v>1607292.6839099738</v>
      </c>
      <c r="AT14">
        <v>1</v>
      </c>
      <c r="AU14">
        <v>997</v>
      </c>
      <c r="AV14">
        <v>9.81</v>
      </c>
      <c r="AW14">
        <f>AS14/(AV14*AU14*AT14)</f>
        <v>164.33527738260386</v>
      </c>
    </row>
    <row r="15" spans="1:49" x14ac:dyDescent="0.3">
      <c r="AO15" s="13" t="s">
        <v>190</v>
      </c>
      <c r="AP15">
        <f>SUM(I14,T14,AE14)</f>
        <v>319050.76799946534</v>
      </c>
      <c r="AR15" s="51">
        <f>AP15*AO$21</f>
        <v>3128819.2140019569</v>
      </c>
      <c r="AS15" s="13">
        <f t="shared" ref="AS15:AS18" si="2">ABS(AR$16)</f>
        <v>1607292.6839099738</v>
      </c>
      <c r="AT15">
        <f>AT14+1</f>
        <v>2</v>
      </c>
      <c r="AU15">
        <v>997</v>
      </c>
      <c r="AV15">
        <v>9.81</v>
      </c>
      <c r="AW15">
        <f t="shared" ref="AW15:AW18" si="3">AS15/(AV15*AU15*AT15)</f>
        <v>82.167638691301931</v>
      </c>
    </row>
    <row r="16" spans="1:49" x14ac:dyDescent="0.3">
      <c r="AO16" s="13" t="s">
        <v>186</v>
      </c>
      <c r="AP16" s="1">
        <f>AP14-AP15</f>
        <v>-163898.24087838089</v>
      </c>
      <c r="AR16" s="50">
        <f>AP16*AO$21</f>
        <v>-1607292.6839099738</v>
      </c>
      <c r="AS16" s="13">
        <f t="shared" si="2"/>
        <v>1607292.6839099738</v>
      </c>
      <c r="AT16">
        <f t="shared" ref="AT16:AT18" si="4">AT15+1</f>
        <v>3</v>
      </c>
      <c r="AU16">
        <v>997</v>
      </c>
      <c r="AV16">
        <v>9.81</v>
      </c>
      <c r="AW16">
        <f t="shared" si="3"/>
        <v>54.77842579420129</v>
      </c>
    </row>
    <row r="17" spans="39:49" x14ac:dyDescent="0.3">
      <c r="AO17" s="13" t="s">
        <v>191</v>
      </c>
      <c r="AR17" s="52"/>
      <c r="AS17" s="13">
        <f t="shared" si="2"/>
        <v>1607292.6839099738</v>
      </c>
      <c r="AT17">
        <f t="shared" si="4"/>
        <v>4</v>
      </c>
      <c r="AU17">
        <v>997</v>
      </c>
      <c r="AV17">
        <v>9.81</v>
      </c>
      <c r="AW17">
        <f t="shared" si="3"/>
        <v>41.083819345650966</v>
      </c>
    </row>
    <row r="18" spans="39:49" x14ac:dyDescent="0.3">
      <c r="AR18" s="52"/>
      <c r="AS18" s="13">
        <f t="shared" si="2"/>
        <v>1607292.6839099738</v>
      </c>
      <c r="AT18">
        <f t="shared" si="4"/>
        <v>5</v>
      </c>
      <c r="AU18">
        <v>997</v>
      </c>
      <c r="AV18">
        <v>9.81</v>
      </c>
      <c r="AW18">
        <f t="shared" si="3"/>
        <v>32.867055476520775</v>
      </c>
    </row>
    <row r="19" spans="39:49" x14ac:dyDescent="0.3">
      <c r="AO19" s="13"/>
      <c r="AS19" s="13">
        <f t="shared" ref="AS19:AS28" si="5">ABS(AR$16)</f>
        <v>1607292.6839099738</v>
      </c>
      <c r="AT19">
        <f t="shared" ref="AT19:AT28" si="6">AT18+1</f>
        <v>6</v>
      </c>
      <c r="AU19">
        <v>997</v>
      </c>
      <c r="AV19">
        <v>9.81</v>
      </c>
      <c r="AW19">
        <f t="shared" ref="AW19:AW28" si="7">AS19/(AV19*AU19*AT19)</f>
        <v>27.389212897100645</v>
      </c>
    </row>
    <row r="20" spans="39:49" x14ac:dyDescent="0.3">
      <c r="AO20" s="13" t="s">
        <v>211</v>
      </c>
      <c r="AS20" s="13">
        <f t="shared" si="5"/>
        <v>1607292.6839099738</v>
      </c>
      <c r="AT20">
        <f t="shared" si="6"/>
        <v>7</v>
      </c>
      <c r="AU20">
        <v>997</v>
      </c>
      <c r="AV20">
        <v>9.81</v>
      </c>
      <c r="AW20">
        <f t="shared" si="7"/>
        <v>23.476468197514841</v>
      </c>
    </row>
    <row r="21" spans="39:49" x14ac:dyDescent="0.3">
      <c r="AO21" s="53">
        <v>9.8066499999999994</v>
      </c>
      <c r="AS21" s="13">
        <f t="shared" si="5"/>
        <v>1607292.6839099738</v>
      </c>
      <c r="AT21">
        <f t="shared" si="6"/>
        <v>8</v>
      </c>
      <c r="AU21">
        <v>997</v>
      </c>
      <c r="AV21">
        <v>9.81</v>
      </c>
      <c r="AW21">
        <f t="shared" si="7"/>
        <v>20.541909672825483</v>
      </c>
    </row>
    <row r="22" spans="39:49" x14ac:dyDescent="0.3">
      <c r="AS22" s="13">
        <f t="shared" si="5"/>
        <v>1607292.6839099738</v>
      </c>
      <c r="AT22">
        <f t="shared" si="6"/>
        <v>9</v>
      </c>
      <c r="AU22">
        <v>997</v>
      </c>
      <c r="AV22">
        <v>9.81</v>
      </c>
      <c r="AW22">
        <f t="shared" si="7"/>
        <v>18.259475264733762</v>
      </c>
    </row>
    <row r="23" spans="39:49" x14ac:dyDescent="0.3">
      <c r="AS23" s="13">
        <f t="shared" si="5"/>
        <v>1607292.6839099738</v>
      </c>
      <c r="AT23">
        <f t="shared" si="6"/>
        <v>10</v>
      </c>
      <c r="AU23">
        <v>997</v>
      </c>
      <c r="AV23">
        <v>9.81</v>
      </c>
      <c r="AW23">
        <f t="shared" si="7"/>
        <v>16.433527738260388</v>
      </c>
    </row>
    <row r="24" spans="39:49" x14ac:dyDescent="0.3">
      <c r="AM24" t="s">
        <v>198</v>
      </c>
      <c r="AO24" t="s">
        <v>208</v>
      </c>
      <c r="AS24" s="13">
        <f t="shared" si="5"/>
        <v>1607292.6839099738</v>
      </c>
      <c r="AT24">
        <f t="shared" si="6"/>
        <v>11</v>
      </c>
      <c r="AU24">
        <v>997</v>
      </c>
      <c r="AV24">
        <v>9.81</v>
      </c>
      <c r="AW24">
        <f t="shared" si="7"/>
        <v>14.939570671145807</v>
      </c>
    </row>
    <row r="25" spans="39:49" x14ac:dyDescent="0.3">
      <c r="AM25" s="54" t="s">
        <v>192</v>
      </c>
      <c r="AS25" s="13">
        <f t="shared" si="5"/>
        <v>1607292.6839099738</v>
      </c>
      <c r="AT25">
        <f t="shared" si="6"/>
        <v>12</v>
      </c>
      <c r="AU25">
        <v>997</v>
      </c>
      <c r="AV25">
        <v>9.81</v>
      </c>
      <c r="AW25">
        <f t="shared" si="7"/>
        <v>13.694606448550322</v>
      </c>
    </row>
    <row r="26" spans="39:49" x14ac:dyDescent="0.3">
      <c r="AM26" s="54" t="s">
        <v>201</v>
      </c>
      <c r="AS26" s="13">
        <f t="shared" si="5"/>
        <v>1607292.6839099738</v>
      </c>
      <c r="AT26">
        <f t="shared" si="6"/>
        <v>13</v>
      </c>
      <c r="AU26">
        <v>997</v>
      </c>
      <c r="AV26">
        <v>9.81</v>
      </c>
      <c r="AW26">
        <f t="shared" si="7"/>
        <v>12.64117518327722</v>
      </c>
    </row>
    <row r="27" spans="39:49" x14ac:dyDescent="0.3">
      <c r="AM27" s="54" t="s">
        <v>203</v>
      </c>
      <c r="AS27" s="13">
        <f t="shared" si="5"/>
        <v>1607292.6839099738</v>
      </c>
      <c r="AT27">
        <f t="shared" si="6"/>
        <v>14</v>
      </c>
      <c r="AU27">
        <v>997</v>
      </c>
      <c r="AV27">
        <v>9.81</v>
      </c>
      <c r="AW27">
        <f t="shared" si="7"/>
        <v>11.73823409875742</v>
      </c>
    </row>
    <row r="28" spans="39:49" x14ac:dyDescent="0.3">
      <c r="AM28" s="54" t="s">
        <v>202</v>
      </c>
      <c r="AS28" s="13">
        <f t="shared" si="5"/>
        <v>1607292.6839099738</v>
      </c>
      <c r="AT28">
        <f t="shared" si="6"/>
        <v>15</v>
      </c>
      <c r="AU28">
        <v>997</v>
      </c>
      <c r="AV28">
        <v>9.81</v>
      </c>
      <c r="AW28">
        <f t="shared" si="7"/>
        <v>10.955685158840257</v>
      </c>
    </row>
    <row r="29" spans="39:49" x14ac:dyDescent="0.3">
      <c r="AM29" s="54" t="s">
        <v>204</v>
      </c>
      <c r="AS29" s="13"/>
    </row>
    <row r="30" spans="39:49" x14ac:dyDescent="0.3">
      <c r="AS30" s="13"/>
    </row>
    <row r="31" spans="39:49" x14ac:dyDescent="0.3">
      <c r="AM31" t="s">
        <v>193</v>
      </c>
      <c r="AN31" t="s">
        <v>199</v>
      </c>
      <c r="AS31" s="13"/>
    </row>
    <row r="32" spans="39:49" x14ac:dyDescent="0.3">
      <c r="AM32" s="54" t="s">
        <v>194</v>
      </c>
      <c r="AS32" s="13"/>
    </row>
    <row r="33" spans="39:45" x14ac:dyDescent="0.3">
      <c r="AM33" s="54" t="s">
        <v>195</v>
      </c>
      <c r="AS33" s="13"/>
    </row>
    <row r="34" spans="39:45" x14ac:dyDescent="0.3">
      <c r="AM34" s="54" t="s">
        <v>196</v>
      </c>
      <c r="AS34" s="13"/>
    </row>
    <row r="35" spans="39:45" x14ac:dyDescent="0.3">
      <c r="AM35" s="54" t="s">
        <v>197</v>
      </c>
      <c r="AS35" s="13"/>
    </row>
    <row r="36" spans="39:45" x14ac:dyDescent="0.3">
      <c r="AS36" s="13"/>
    </row>
    <row r="37" spans="39:45" x14ac:dyDescent="0.3">
      <c r="AS37" s="13"/>
    </row>
    <row r="38" spans="39:45" x14ac:dyDescent="0.3">
      <c r="AS38" s="13"/>
    </row>
    <row r="39" spans="39:45" x14ac:dyDescent="0.3">
      <c r="AS39" s="13"/>
    </row>
    <row r="40" spans="39:45" x14ac:dyDescent="0.3">
      <c r="AS40" s="13"/>
    </row>
    <row r="41" spans="39:45" x14ac:dyDescent="0.3">
      <c r="AS41" s="13"/>
    </row>
    <row r="42" spans="39:45" x14ac:dyDescent="0.3">
      <c r="AS42" s="13"/>
    </row>
    <row r="43" spans="39:45" x14ac:dyDescent="0.3">
      <c r="AS43" s="13"/>
    </row>
  </sheetData>
  <conditionalFormatting sqref="B4:I11 M4:T11 X4:AE11">
    <cfRule type="colorScale" priority="2">
      <colorScale>
        <cfvo type="min"/>
        <cfvo type="percentile" val="50"/>
        <cfvo type="max"/>
        <color theme="9" tint="0.39997558519241921"/>
        <color rgb="FFFFEB84"/>
        <color rgb="FFFF6161"/>
      </colorScale>
    </cfRule>
  </conditionalFormatting>
  <conditionalFormatting sqref="AI4:AP11">
    <cfRule type="colorScale" priority="1">
      <colorScale>
        <cfvo type="min"/>
        <cfvo type="percentile" val="50"/>
        <cfvo type="max"/>
        <color theme="9" tint="0.39997558519241921"/>
        <color rgb="FFFFEB84"/>
        <color rgb="FFFF6161"/>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3020A-0241-451B-89B2-1C903AEFDCDE}">
  <dimension ref="A1:F9"/>
  <sheetViews>
    <sheetView workbookViewId="0">
      <selection activeCell="F27" sqref="F27"/>
    </sheetView>
  </sheetViews>
  <sheetFormatPr defaultRowHeight="14.4" x14ac:dyDescent="0.3"/>
  <cols>
    <col min="1" max="1" width="17.6640625" bestFit="1" customWidth="1"/>
    <col min="2" max="2" width="20.33203125" customWidth="1"/>
    <col min="3" max="3" width="18.6640625" bestFit="1" customWidth="1"/>
    <col min="4" max="4" width="19.6640625" bestFit="1" customWidth="1"/>
    <col min="6" max="6" width="10.77734375" bestFit="1" customWidth="1"/>
  </cols>
  <sheetData>
    <row r="1" spans="1:6" x14ac:dyDescent="0.3">
      <c r="A1" t="s">
        <v>216</v>
      </c>
    </row>
    <row r="3" spans="1:6" x14ac:dyDescent="0.3">
      <c r="B3" t="s">
        <v>219</v>
      </c>
      <c r="C3" t="s">
        <v>218</v>
      </c>
      <c r="D3" t="s">
        <v>221</v>
      </c>
      <c r="F3" t="s">
        <v>222</v>
      </c>
    </row>
    <row r="4" spans="1:6" x14ac:dyDescent="0.3">
      <c r="A4" t="s">
        <v>217</v>
      </c>
      <c r="B4">
        <v>6.4</v>
      </c>
      <c r="C4">
        <v>5.2</v>
      </c>
      <c r="D4">
        <f>C4*100</f>
        <v>520</v>
      </c>
    </row>
    <row r="5" spans="1:6" x14ac:dyDescent="0.3">
      <c r="A5" t="s">
        <v>214</v>
      </c>
      <c r="B5">
        <v>30</v>
      </c>
      <c r="C5">
        <v>30</v>
      </c>
      <c r="D5">
        <f t="shared" ref="D5:D6" si="0">C5*100</f>
        <v>3000</v>
      </c>
    </row>
    <row r="6" spans="1:6" x14ac:dyDescent="0.3">
      <c r="A6" t="s">
        <v>215</v>
      </c>
      <c r="B6">
        <v>30</v>
      </c>
      <c r="C6">
        <v>30</v>
      </c>
      <c r="D6">
        <f t="shared" si="0"/>
        <v>3000</v>
      </c>
    </row>
    <row r="7" spans="1:6" x14ac:dyDescent="0.3">
      <c r="B7" t="s">
        <v>225</v>
      </c>
      <c r="C7" t="s">
        <v>224</v>
      </c>
      <c r="D7" t="s">
        <v>225</v>
      </c>
      <c r="F7" s="56">
        <f>D8/B8</f>
        <v>812500</v>
      </c>
    </row>
    <row r="8" spans="1:6" x14ac:dyDescent="0.3">
      <c r="A8" t="s">
        <v>220</v>
      </c>
      <c r="B8">
        <f>B4*B5*B6</f>
        <v>5760</v>
      </c>
      <c r="C8">
        <f>C4*C5*C6</f>
        <v>4680</v>
      </c>
      <c r="D8" s="55">
        <f>D4*D5*D6</f>
        <v>4680000000</v>
      </c>
    </row>
    <row r="9" spans="1:6" x14ac:dyDescent="0.3">
      <c r="A9" t="s">
        <v>223</v>
      </c>
      <c r="B9">
        <f>D9/F7</f>
        <v>11.076923076923077</v>
      </c>
      <c r="C9" s="55">
        <v>9</v>
      </c>
      <c r="D9" s="56">
        <f>C9*1000000</f>
        <v>9000000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EF96245D7C1E4BABEEA03D7ECE19C0" ma:contentTypeVersion="4" ma:contentTypeDescription="Een nieuw document maken." ma:contentTypeScope="" ma:versionID="f72c6b3f2ff96562f14ae8449ff33f0d">
  <xsd:schema xmlns:xsd="http://www.w3.org/2001/XMLSchema" xmlns:xs="http://www.w3.org/2001/XMLSchema" xmlns:p="http://schemas.microsoft.com/office/2006/metadata/properties" xmlns:ns2="0714667c-0a60-4810-ab6f-84607c76cfd4" targetNamespace="http://schemas.microsoft.com/office/2006/metadata/properties" ma:root="true" ma:fieldsID="f69e43b74bb03b9c993e12ef8729ea88" ns2:_="">
    <xsd:import namespace="0714667c-0a60-4810-ab6f-84607c76cf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14667c-0a60-4810-ab6f-84607c76cf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0E62E5-999B-4585-922A-359AE6FF5D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14667c-0a60-4810-ab6f-84607c76cf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3B4FB9-F351-4206-B0AD-FF7C8B58859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9A34E54-66C2-4D18-8E75-6202DF656F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Toelichting model</vt:lpstr>
      <vt:lpstr>Verdieping 1</vt:lpstr>
      <vt:lpstr>Verdieping 0</vt:lpstr>
      <vt:lpstr>Verdieping -1</vt:lpstr>
      <vt:lpstr>Belastingsverdeling</vt:lpstr>
      <vt:lpstr>Moment verdeling hor. as</vt:lpstr>
      <vt:lpstr>Moment verdeling vert. as</vt:lpstr>
      <vt:lpstr>groote schaal 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Jelle Willemen</dc:creator>
  <cp:keywords/>
  <dc:description/>
  <cp:lastModifiedBy>Kyrill Kriek (1054254)</cp:lastModifiedBy>
  <cp:revision/>
  <dcterms:created xsi:type="dcterms:W3CDTF">2025-03-07T08:42:15Z</dcterms:created>
  <dcterms:modified xsi:type="dcterms:W3CDTF">2025-10-10T09:39:42Z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0x0101004CEF96245D7C1E4BABEEA03D7ECE19C0</vt:lpwstr>
  </property>
</Properties>
</file>